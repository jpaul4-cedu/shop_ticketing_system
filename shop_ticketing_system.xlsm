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fileSharing readOnlyRecommended="1"/>
  <workbookPr codeName="ThisWorkbook" defaultThemeVersion="166925"/>
  <mc:AlternateContent xmlns:mc="http://schemas.openxmlformats.org/markup-compatibility/2006">
    <mc:Choice Requires="x15">
      <x15ac:absPath xmlns:x15ac="http://schemas.microsoft.com/office/spreadsheetml/2010/11/ac" url="C:\Users\joepa\Desktop\"/>
    </mc:Choice>
  </mc:AlternateContent>
  <xr:revisionPtr revIDLastSave="0" documentId="10_ncr:100000_{275B92D0-742F-4D2C-8031-CD4825314735}" xr6:coauthVersionLast="31" xr6:coauthVersionMax="31" xr10:uidLastSave="{00000000-0000-0000-0000-000000000000}"/>
  <bookViews>
    <workbookView xWindow="0" yWindow="0" windowWidth="19200" windowHeight="11508" activeTab="2" xr2:uid="{00000000-000D-0000-FFFF-FFFF00000000}"/>
  </bookViews>
  <sheets>
    <sheet name="TIKS" sheetId="6" r:id="rId1"/>
    <sheet name="Control Sheet" sheetId="1" state="veryHidden" r:id="rId2"/>
    <sheet name="Sheet1" sheetId="9" r:id="rId3"/>
    <sheet name="Tag" sheetId="8" state="veryHidden" r:id="rId4"/>
    <sheet name="Receipt" sheetId="7" state="veryHidden" r:id="rId5"/>
  </sheets>
  <functionGroups builtInGroupCount="19"/>
  <definedNames>
    <definedName name="ExternalData_1" localSheetId="0" hidden="1">TIKS!$A$1:$AY$11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9" i="7" l="1"/>
  <c r="C30" i="7" l="1"/>
  <c r="K1"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ikeShopTest.accdb TESTALLFIELDS" type="1" refreshedVersion="6" saveData="1">
    <dbPr connection="DSN=MS Access Database;DBQ=S:\STUDREC\OUTDOOR RECREATION\JP-SETUP\BikeShopTest.accdb;DefaultDir=S:\STUDREC\OUTDOOR RECREATION\JP-SETUP;DriverId=25;FIL=MS Access;MaxBufferSize=2048;PageTimeout=5;" command="SELECT TESTALLFIELDS.ID, TESTALLFIELDS.TKT, TESTALLFIELDS.TKN, TESTALLFIELDS.REP, TESTALLFIELDS.CLR, TESTALLFIELDS.MK, TESTALLFIELDS.MD, TESTALLFIELDS.CNM, TESTALLFIELDS.CWID, TESTALLFIELDS.EMAIL, TESTALLFIELDS.PHN, TESTALLFIELDS.DATEIN, TESTALLFIELDS.DATEOUT, TESTALLFIELDS.FLAT, TESTALLFIELDS.TUNE, TESTALLFIELDS.BRAKE, TESTALLFIELDS.DER, TESTALLFIELDS.TRU, TESTALLFIELDS.HUB, TESTALLFIELDS.BB, TESTALLFIELDS.HSET, TESTALLFIELDS.CCMT, TESTALLFIELDS.MCMT1, TESTALLFIELDS.MCMT2, TESTALLFIELDS.MCMT3, TESTALLFIELDS.MCMT4, TESTALLFIELDS.MCMT5, TESTALLFIELDS.PPFLAT, TESTALLFIELDS.PPTUNE, TESTALLFIELDS.PPBRAKE, TESTALLFIELDS.PPDER, TESTALLFIELDS.PPTRU, TESTALLFIELDS.PPHUB, TESTALLFIELDS.PPBB, TESTALLFIELDS.PPHSET, TESTALLFIELDS.PLFLAT, TESTALLFIELDS.PLTUNE, TESTALLFIELDS.PLBRAKE, TESTALLFIELDS.PLDER, TESTALLFIELDS.PLTRU, TESTALLFIELDS.PLHUB, TESTALLFIELDS.PLBB, TESTALLFIELDS.PLHSET, TESTALLFIELDS.PPOTHER, TESTALLFIELDS.PLOTHER, TESTALLFIELDS.STATUS, TESTALLFIELDS.PLT, TESTALLFIELDS.PPT, TESTALLFIELDS.TOT, TESTALLFIELDS.CLDQUT, TESTALLFIELDS.CLDCMP_x000d__x000a_FROM `S:\STUDREC\OUTDOOR RECREATION\JP-SETUP\BikeShopTest.accdb`.TESTALLFIELDS TESTALLFIELDS_x000d__x000a_WHERE (TESTALLFIELDS.STATUS&lt;&gt;'PAID')"/>
  </connection>
  <connection id="2" xr16:uid="{00000000-0015-0000-FFFF-FFFF01000000}" keepAlive="1" name="Query - TESTALLFIELDS" description="Connection to the 'TESTALLFIELDS' query in the workbook." type="5" refreshedVersion="0" background="1">
    <dbPr connection="Provider=Microsoft.Mashup.OleDb.1;Data Source=$Workbook$;Location=TESTALLFIELDS;Extended Properties=&quot;&quot;" command="SELECT * FROM [TESTALLFIELDS]"/>
  </connection>
  <connection id="3" xr16:uid="{00000000-0015-0000-FFFF-FFFF02000000}" keepAlive="1" name="Query - TESTALLFIELDS (2)" description="Connection to the 'TESTALLFIELDS (2)' query in the workbook." type="5" refreshedVersion="6" background="1" saveData="1">
    <dbPr connection="Provider=Microsoft.Mashup.OleDb.1;Data Source=$Workbook$;Location=TESTALLFIELDS (2);Extended Properties=&quot;&quot;" command="SELECT * FROM [TESTALLFIELDS (2)]"/>
  </connection>
</connections>
</file>

<file path=xl/sharedStrings.xml><?xml version="1.0" encoding="utf-8"?>
<sst xmlns="http://schemas.openxmlformats.org/spreadsheetml/2006/main" count="458" uniqueCount="220">
  <si>
    <t>TKT</t>
  </si>
  <si>
    <t>CLR</t>
  </si>
  <si>
    <t>MK</t>
  </si>
  <si>
    <t>MD</t>
  </si>
  <si>
    <t>CNM</t>
  </si>
  <si>
    <t>PHN</t>
  </si>
  <si>
    <t>DATEIN</t>
  </si>
  <si>
    <t>FLAT</t>
  </si>
  <si>
    <t>TUNE</t>
  </si>
  <si>
    <t>BRAKE</t>
  </si>
  <si>
    <t>DER</t>
  </si>
  <si>
    <t>TRU</t>
  </si>
  <si>
    <t>HUB</t>
  </si>
  <si>
    <t>BB</t>
  </si>
  <si>
    <t>HSET</t>
  </si>
  <si>
    <t>CCMT</t>
  </si>
  <si>
    <t/>
  </si>
  <si>
    <t>ID</t>
  </si>
  <si>
    <t>TKN</t>
  </si>
  <si>
    <t>REP</t>
  </si>
  <si>
    <t>CWID</t>
  </si>
  <si>
    <t>EMAIL</t>
  </si>
  <si>
    <t>DATEOUT</t>
  </si>
  <si>
    <t>MCMT1</t>
  </si>
  <si>
    <t>MCMT2</t>
  </si>
  <si>
    <t>MCMT3</t>
  </si>
  <si>
    <t>MCMT4</t>
  </si>
  <si>
    <t>MCMT5</t>
  </si>
  <si>
    <t>PPFLAT</t>
  </si>
  <si>
    <t>PPTUNE</t>
  </si>
  <si>
    <t>PPBRAKE</t>
  </si>
  <si>
    <t>PPDER</t>
  </si>
  <si>
    <t>PPTRU</t>
  </si>
  <si>
    <t>PPHUB</t>
  </si>
  <si>
    <t>PPBB</t>
  </si>
  <si>
    <t>PPHSET</t>
  </si>
  <si>
    <t>PLFLAT</t>
  </si>
  <si>
    <t>PLTUNE</t>
  </si>
  <si>
    <t>PLBRAKE</t>
  </si>
  <si>
    <t>PLDER</t>
  </si>
  <si>
    <t>PLTRU</t>
  </si>
  <si>
    <t>PLHUB</t>
  </si>
  <si>
    <t>PLBB</t>
  </si>
  <si>
    <t>PLHSET</t>
  </si>
  <si>
    <t>PPOTHER</t>
  </si>
  <si>
    <t>PLOTHER</t>
  </si>
  <si>
    <t>STATUS</t>
  </si>
  <si>
    <t>PLT</t>
  </si>
  <si>
    <t>PPT</t>
  </si>
  <si>
    <t>TOT</t>
  </si>
  <si>
    <t>Front</t>
  </si>
  <si>
    <t>0</t>
  </si>
  <si>
    <t>The University of Alabama Outdoor Rec Bike Shop</t>
  </si>
  <si>
    <t>Name:</t>
  </si>
  <si>
    <t>Bike Description:</t>
  </si>
  <si>
    <t>Email:</t>
  </si>
  <si>
    <t>CWID:</t>
  </si>
  <si>
    <t>Phone:</t>
  </si>
  <si>
    <t>Service:</t>
  </si>
  <si>
    <t>Parts:</t>
  </si>
  <si>
    <t>Labor:</t>
  </si>
  <si>
    <t>Flat Fix</t>
  </si>
  <si>
    <t>Tune-Up</t>
  </si>
  <si>
    <t>Derailleur Adjustment</t>
  </si>
  <si>
    <t>Wheel True</t>
  </si>
  <si>
    <t>Hub Adjustment</t>
  </si>
  <si>
    <t>Bottom Bracket Adjustment</t>
  </si>
  <si>
    <t>Headset Adjustment</t>
  </si>
  <si>
    <t>Other</t>
  </si>
  <si>
    <t>Brake Adjustment</t>
  </si>
  <si>
    <t>Customer Comments</t>
  </si>
  <si>
    <t>Mechanic Comments</t>
  </si>
  <si>
    <t>Part Total</t>
  </si>
  <si>
    <t>Labor Total</t>
  </si>
  <si>
    <t>Tax</t>
  </si>
  <si>
    <t>Total</t>
  </si>
  <si>
    <t>JP</t>
  </si>
  <si>
    <t>11527951</t>
  </si>
  <si>
    <t>Minor</t>
  </si>
  <si>
    <t>Front &amp; Rear</t>
  </si>
  <si>
    <t>COMPLETE</t>
  </si>
  <si>
    <t>Major</t>
  </si>
  <si>
    <t>10</t>
  </si>
  <si>
    <t>ms</t>
  </si>
  <si>
    <t>matthew shultz</t>
  </si>
  <si>
    <t>10/16/2018 2:24:25 PM</t>
  </si>
  <si>
    <t>hi</t>
  </si>
  <si>
    <t>seth</t>
  </si>
  <si>
    <t>/</t>
  </si>
  <si>
    <t>Default Prices</t>
  </si>
  <si>
    <t xml:space="preserve">Flat </t>
  </si>
  <si>
    <t>Parts</t>
  </si>
  <si>
    <t>Labor</t>
  </si>
  <si>
    <t>Minor Tune</t>
  </si>
  <si>
    <t>Major Tune</t>
  </si>
  <si>
    <t>Brake Tune</t>
  </si>
  <si>
    <t>Tune Ups</t>
  </si>
  <si>
    <t>Adjustments</t>
  </si>
  <si>
    <t>Derailleur</t>
  </si>
  <si>
    <t>Hub F</t>
  </si>
  <si>
    <t>Hub R</t>
  </si>
  <si>
    <t>Headset</t>
  </si>
  <si>
    <t>Bleed</t>
  </si>
  <si>
    <t>Rebuilds</t>
  </si>
  <si>
    <t>Labor (mins)</t>
  </si>
  <si>
    <t>BB R</t>
  </si>
  <si>
    <t>Hub F R</t>
  </si>
  <si>
    <t>Hub R R</t>
  </si>
  <si>
    <t>Hset R</t>
  </si>
  <si>
    <t>red</t>
  </si>
  <si>
    <t>Part Pricing</t>
  </si>
  <si>
    <t>Normal</t>
  </si>
  <si>
    <t>Wheel</t>
  </si>
  <si>
    <t>Bama Bike</t>
  </si>
  <si>
    <t>Bama Wheel</t>
  </si>
  <si>
    <t>up charge factor</t>
  </si>
  <si>
    <t>dollar add</t>
  </si>
  <si>
    <t>30</t>
  </si>
  <si>
    <t>25</t>
  </si>
  <si>
    <t>mtb</t>
  </si>
  <si>
    <t>Dan Hopkins</t>
  </si>
  <si>
    <t>Silver</t>
  </si>
  <si>
    <t>electra</t>
  </si>
  <si>
    <t>townie 21</t>
  </si>
  <si>
    <t>William Field</t>
  </si>
  <si>
    <t>11169366</t>
  </si>
  <si>
    <t>billyfield@gmail.com</t>
  </si>
  <si>
    <t>2057922802</t>
  </si>
  <si>
    <t>11/2/2018 10:59:14 AM</t>
  </si>
  <si>
    <t xml:space="preserve">Change battery in rear red light </t>
  </si>
  <si>
    <t>blue</t>
  </si>
  <si>
    <t>specialized rockhopper</t>
  </si>
  <si>
    <t>mike shelton</t>
  </si>
  <si>
    <t>10381311</t>
  </si>
  <si>
    <t>mshelton2fa.ua.edu</t>
  </si>
  <si>
    <t>2055349781</t>
  </si>
  <si>
    <t>11/5/2018 11:31:27 AM</t>
  </si>
  <si>
    <t>Black</t>
  </si>
  <si>
    <t>68</t>
  </si>
  <si>
    <t>Batteries in Rear Light Changed ($5)_x000D_
BB Service - (include in Minor Tune)</t>
  </si>
  <si>
    <t>5</t>
  </si>
  <si>
    <t>"replace pedals with given ones, cust. wants old pedals back"_x000D_
_x000D_
Bike did not require major tuneup, just aired up the tires and messed with the brakes for a second. _x000D_
_x000D_
I also lubed the chain._x000D_
_x000D_
- MS 11/12/18_x000D_
_x000D_
Mailbox is full, please call again later</t>
  </si>
  <si>
    <t>huffy</t>
  </si>
  <si>
    <t>Jian Chen</t>
  </si>
  <si>
    <t>11826435</t>
  </si>
  <si>
    <t>jchen100@crimson.ua.edu</t>
  </si>
  <si>
    <t>2052399395</t>
  </si>
  <si>
    <t>11/8/2018 10:46:23 AM</t>
  </si>
  <si>
    <t>This bike is absolutly screwed. Front and rear hub, BB, pedal bearings are all loose. The front brake pads have warn a sizable dent into the left side of the rim. The rear brake pads also need some work. At minimum, he needs new brake pads front and rear.</t>
  </si>
  <si>
    <t>QUOTED</t>
  </si>
  <si>
    <t>Hyper</t>
  </si>
  <si>
    <t>Havoc</t>
  </si>
  <si>
    <t>Nick Jensen</t>
  </si>
  <si>
    <t>11868812</t>
  </si>
  <si>
    <t>njjensen@crimson.ua.edu</t>
  </si>
  <si>
    <t>2515338788</t>
  </si>
  <si>
    <t>11/8/2018 10:58:56 AM</t>
  </si>
  <si>
    <t>New Brake Pads</t>
  </si>
  <si>
    <t xml:space="preserve">No flat fix nor brake pads required as seen by myself, had to rebuild R Hub so added $5 to Major tuneup cost. New cable + housing for R brake and R derailleur ($20)_x000D_
_x000D_
</t>
  </si>
  <si>
    <t>50</t>
  </si>
  <si>
    <t>18.35</t>
  </si>
  <si>
    <t xml:space="preserve">Cable </t>
  </si>
  <si>
    <t>Per</t>
  </si>
  <si>
    <t>Housing</t>
  </si>
  <si>
    <t>Date In:</t>
  </si>
  <si>
    <t>CLDQUT</t>
  </si>
  <si>
    <t>CLDCMP</t>
  </si>
  <si>
    <t>specialized rockhopper /</t>
  </si>
  <si>
    <t>grey</t>
  </si>
  <si>
    <t>fuji</t>
  </si>
  <si>
    <t>michael gilmore</t>
  </si>
  <si>
    <t>11875402</t>
  </si>
  <si>
    <t>mjgilmore@crimson.ua.edu</t>
  </si>
  <si>
    <t>5125274884</t>
  </si>
  <si>
    <t>11/12/2018 10:18:58 AM</t>
  </si>
  <si>
    <t>Blue</t>
  </si>
  <si>
    <t>Test</t>
  </si>
  <si>
    <t>Bike</t>
  </si>
  <si>
    <t>Joe Paul</t>
  </si>
  <si>
    <t>11707493</t>
  </si>
  <si>
    <t>joepaul2291@gmail.com</t>
  </si>
  <si>
    <t>4125061673</t>
  </si>
  <si>
    <t>11/15/2018 11:43:55 AM</t>
  </si>
  <si>
    <t>Rear</t>
  </si>
  <si>
    <t>YES</t>
  </si>
  <si>
    <t>11/15/2018 5:09:52 PM</t>
  </si>
  <si>
    <t>11/15/2018 5:22:08 PM</t>
  </si>
  <si>
    <t xml:space="preserve">"replace pedals with given ones, cust. wants old pedals back"_x000D_
_x000D_
Bike did not require major tuneup, just aired up the tires and messed with the brakes for a second. _x000D_
_x000D_
I also lubed the chain._x000D_
_x000D_
- MS 11/12/18_x000D_
_x000D_
Mailbox is full, please call again later_x000D_
</t>
  </si>
  <si>
    <t>11/15/2018 5:15:06 PM</t>
  </si>
  <si>
    <t>11/15/18 11:58:35</t>
  </si>
  <si>
    <t>6.42</t>
  </si>
  <si>
    <t>7</t>
  </si>
  <si>
    <t>13</t>
  </si>
  <si>
    <t xml:space="preserve"> Cables(1),</t>
  </si>
  <si>
    <t>8</t>
  </si>
  <si>
    <t>3</t>
  </si>
  <si>
    <t>OPEN</t>
  </si>
  <si>
    <t>11</t>
  </si>
  <si>
    <t>black</t>
  </si>
  <si>
    <t>black widow</t>
  </si>
  <si>
    <t>james niiler</t>
  </si>
  <si>
    <t>11661441</t>
  </si>
  <si>
    <t>jvniiler@crimson.ua.edu</t>
  </si>
  <si>
    <t>2053102285</t>
  </si>
  <si>
    <t>11/15/2018 3:29:24 PM</t>
  </si>
  <si>
    <t>chain needs repaired/replaced_x000D_
brakes checked</t>
  </si>
  <si>
    <t>Koby Cormier</t>
  </si>
  <si>
    <t>Grey</t>
  </si>
  <si>
    <t>Mongoose</t>
  </si>
  <si>
    <t>N/A</t>
  </si>
  <si>
    <t>Jakov Cakareski</t>
  </si>
  <si>
    <t>jacob@ua</t>
  </si>
  <si>
    <t>2053482623</t>
  </si>
  <si>
    <t>11/16/2018 9:16:17 AM</t>
  </si>
  <si>
    <t>Gears won't shift, line broken?</t>
  </si>
  <si>
    <t>47</t>
  </si>
  <si>
    <t>test</t>
  </si>
  <si>
    <t>bike</t>
  </si>
  <si>
    <t>11/24/2018 5:41:51 AM</t>
  </si>
  <si>
    <t>Test1234test1234test1234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</si>
</sst>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mm/dd/yy\ hh:mm"/>
    <numFmt numFmtId="166" formatCode="mm/dd/yy"/>
  </numFmts>
  <fonts count="13" x14ac:knownFonts="1">
    <font>
      <sz val="11"/>
      <color theme="1"/>
      <name val="Calibri"/>
      <family val="2"/>
      <scheme val="minor"/>
    </font>
    <font>
      <b/>
      <sz val="18"/>
      <color theme="1"/>
      <name val="Calibri"/>
      <family val="2"/>
      <scheme val="minor"/>
    </font>
    <font>
      <b/>
      <sz val="14"/>
      <color theme="1"/>
      <name val="Calibri"/>
      <family val="2"/>
      <scheme val="minor"/>
    </font>
    <font>
      <i/>
      <sz val="11"/>
      <color theme="1"/>
      <name val="Arial"/>
      <family val="2"/>
    </font>
    <font>
      <sz val="14"/>
      <color theme="1"/>
      <name val="Calibri"/>
      <family val="2"/>
      <scheme val="minor"/>
    </font>
    <font>
      <b/>
      <sz val="36"/>
      <color theme="1"/>
      <name val="Calibri"/>
      <family val="2"/>
      <scheme val="minor"/>
    </font>
    <font>
      <b/>
      <sz val="20"/>
      <color theme="1"/>
      <name val="Calibri"/>
      <family val="2"/>
      <scheme val="minor"/>
    </font>
    <font>
      <i/>
      <sz val="14"/>
      <color theme="1"/>
      <name val="Calibri"/>
      <family val="2"/>
      <scheme val="minor"/>
    </font>
    <font>
      <i/>
      <sz val="14"/>
      <color theme="1"/>
      <name val="Arial"/>
      <family val="2"/>
    </font>
    <font>
      <b/>
      <sz val="72"/>
      <color theme="1"/>
      <name val="Calibri"/>
      <family val="2"/>
      <scheme val="minor"/>
    </font>
    <font>
      <b/>
      <sz val="20"/>
      <color rgb="FF000000"/>
      <name val="Calibri"/>
      <family val="2"/>
    </font>
    <font>
      <b/>
      <sz val="14"/>
      <color rgb="FF000000"/>
      <name val="Calibri"/>
      <family val="2"/>
    </font>
    <font>
      <sz val="11"/>
      <color rgb="FF000000"/>
      <name val="Calibri"/>
      <family val="2"/>
    </font>
  </fonts>
  <fills count="3">
    <fill>
      <patternFill patternType="none"/>
    </fill>
    <fill>
      <patternFill patternType="gray125"/>
    </fill>
    <fill>
      <patternFill patternType="solid">
        <fgColor theme="6"/>
        <bgColor indexed="64"/>
      </patternFill>
    </fill>
  </fills>
  <borders count="1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s>
  <cellStyleXfs count="1">
    <xf numFmtId="0" fontId="0" fillId="0" borderId="0"/>
  </cellStyleXfs>
  <cellXfs count="69">
    <xf numFmtId="0" fontId="0" fillId="0" borderId="0" xfId="0"/>
    <xf numFmtId="0" fontId="1" fillId="0" borderId="0" xfId="0" applyFont="1" applyAlignment="1">
      <alignment vertical="center"/>
    </xf>
    <xf numFmtId="0" fontId="3" fillId="0" borderId="0" xfId="0" applyFont="1" applyFill="1" applyBorder="1"/>
    <xf numFmtId="0" fontId="0" fillId="0" borderId="0" xfId="0" applyFill="1" applyBorder="1"/>
    <xf numFmtId="0" fontId="0" fillId="0" borderId="9" xfId="0" applyFill="1" applyBorder="1"/>
    <xf numFmtId="0" fontId="3" fillId="0" borderId="14" xfId="0" applyFont="1" applyFill="1" applyBorder="1"/>
    <xf numFmtId="0" fontId="2" fillId="0" borderId="3" xfId="0" applyFont="1" applyFill="1" applyBorder="1" applyAlignment="1"/>
    <xf numFmtId="0" fontId="2" fillId="0" borderId="4" xfId="0" applyFont="1" applyFill="1" applyBorder="1" applyAlignment="1"/>
    <xf numFmtId="0" fontId="0" fillId="0" borderId="0" xfId="0" applyFill="1" applyBorder="1" applyAlignment="1"/>
    <xf numFmtId="0" fontId="0" fillId="0" borderId="8" xfId="0" applyFill="1" applyBorder="1"/>
    <xf numFmtId="0" fontId="0" fillId="0" borderId="10" xfId="0" applyFill="1" applyBorder="1"/>
    <xf numFmtId="0" fontId="0" fillId="0" borderId="11" xfId="0" applyFill="1" applyBorder="1"/>
    <xf numFmtId="0" fontId="0" fillId="0" borderId="12" xfId="0" applyFill="1" applyBorder="1"/>
    <xf numFmtId="0" fontId="6" fillId="0" borderId="2" xfId="0" applyFont="1" applyFill="1" applyBorder="1" applyAlignment="1"/>
    <xf numFmtId="0" fontId="6" fillId="0" borderId="8" xfId="0" applyFont="1" applyFill="1" applyBorder="1"/>
    <xf numFmtId="0" fontId="6" fillId="0" borderId="13" xfId="0" applyFont="1" applyFill="1" applyBorder="1"/>
    <xf numFmtId="0" fontId="6" fillId="0" borderId="5" xfId="0" applyFont="1" applyFill="1" applyBorder="1"/>
    <xf numFmtId="0" fontId="6" fillId="0" borderId="10" xfId="0" applyFont="1" applyFill="1" applyBorder="1"/>
    <xf numFmtId="0" fontId="6" fillId="0" borderId="0" xfId="0" applyFont="1" applyFill="1" applyBorder="1"/>
    <xf numFmtId="0" fontId="6" fillId="0" borderId="11" xfId="0" applyFont="1" applyFill="1" applyBorder="1"/>
    <xf numFmtId="164" fontId="7" fillId="0" borderId="0" xfId="0" applyNumberFormat="1" applyFont="1" applyFill="1" applyBorder="1"/>
    <xf numFmtId="164" fontId="4" fillId="0" borderId="11" xfId="0" applyNumberFormat="1" applyFont="1" applyFill="1" applyBorder="1"/>
    <xf numFmtId="0" fontId="8" fillId="0" borderId="14" xfId="0" applyFont="1" applyFill="1" applyBorder="1"/>
    <xf numFmtId="0" fontId="7" fillId="0" borderId="3" xfId="0" applyFont="1" applyFill="1" applyBorder="1"/>
    <xf numFmtId="0" fontId="7" fillId="0" borderId="1" xfId="0" applyFont="1" applyFill="1" applyBorder="1"/>
    <xf numFmtId="0" fontId="6" fillId="0" borderId="2" xfId="0" applyFont="1" applyFill="1" applyBorder="1"/>
    <xf numFmtId="0" fontId="7" fillId="0" borderId="11" xfId="0" applyFont="1" applyFill="1" applyBorder="1" applyAlignment="1"/>
    <xf numFmtId="0" fontId="7" fillId="0" borderId="12" xfId="0" applyFont="1" applyFill="1" applyBorder="1" applyAlignment="1"/>
    <xf numFmtId="0" fontId="7" fillId="0" borderId="4" xfId="0" applyFont="1" applyFill="1" applyBorder="1" applyAlignment="1"/>
    <xf numFmtId="0" fontId="0" fillId="0" borderId="3" xfId="0" applyFill="1" applyBorder="1"/>
    <xf numFmtId="0" fontId="0" fillId="0" borderId="15" xfId="0" applyFill="1" applyBorder="1"/>
    <xf numFmtId="0" fontId="0" fillId="0" borderId="1" xfId="0" applyFill="1" applyBorder="1"/>
    <xf numFmtId="0" fontId="0" fillId="0" borderId="0" xfId="0" applyNumberFormat="1"/>
    <xf numFmtId="0" fontId="7" fillId="0" borderId="10" xfId="0" applyFont="1" applyFill="1" applyBorder="1"/>
    <xf numFmtId="22" fontId="0" fillId="2" borderId="0" xfId="0" applyNumberFormat="1" applyFill="1"/>
    <xf numFmtId="0" fontId="0" fillId="2" borderId="0" xfId="0" applyFill="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Border="1"/>
    <xf numFmtId="0" fontId="0" fillId="0" borderId="9" xfId="0" applyBorder="1"/>
    <xf numFmtId="0" fontId="0" fillId="0" borderId="10" xfId="0" applyBorder="1"/>
    <xf numFmtId="0" fontId="0" fillId="0" borderId="11" xfId="0" applyBorder="1"/>
    <xf numFmtId="0" fontId="0" fillId="0" borderId="12" xfId="0" applyBorder="1"/>
    <xf numFmtId="0" fontId="6" fillId="0" borderId="3" xfId="0" applyFont="1" applyFill="1" applyBorder="1"/>
    <xf numFmtId="0" fontId="6" fillId="0" borderId="5" xfId="0" applyFont="1" applyFill="1" applyBorder="1" applyAlignment="1"/>
    <xf numFmtId="0" fontId="3" fillId="0" borderId="7" xfId="0" applyFont="1" applyFill="1" applyBorder="1" applyAlignment="1"/>
    <xf numFmtId="0" fontId="3" fillId="0" borderId="4" xfId="0" applyFont="1" applyFill="1" applyBorder="1"/>
    <xf numFmtId="14" fontId="0" fillId="0" borderId="0" xfId="0" applyNumberFormat="1"/>
    <xf numFmtId="22" fontId="0" fillId="0" borderId="0" xfId="0" applyNumberFormat="1"/>
    <xf numFmtId="0" fontId="9" fillId="0" borderId="0" xfId="0" applyFont="1" applyAlignment="1">
      <alignment horizontal="left" vertical="top"/>
    </xf>
    <xf numFmtId="0" fontId="7" fillId="0" borderId="6" xfId="0" applyFont="1" applyFill="1" applyBorder="1" applyAlignment="1">
      <alignment horizontal="center" vertical="top" wrapText="1"/>
    </xf>
    <xf numFmtId="0" fontId="7" fillId="0" borderId="7" xfId="0" applyFont="1" applyFill="1" applyBorder="1" applyAlignment="1">
      <alignment horizontal="center" vertical="top" wrapText="1"/>
    </xf>
    <xf numFmtId="0" fontId="7" fillId="0" borderId="0" xfId="0" applyFont="1" applyFill="1" applyBorder="1" applyAlignment="1">
      <alignment horizontal="center" vertical="top" wrapText="1"/>
    </xf>
    <xf numFmtId="0" fontId="7" fillId="0" borderId="9" xfId="0" applyFont="1" applyFill="1" applyBorder="1" applyAlignment="1">
      <alignment horizontal="center" vertical="top" wrapText="1"/>
    </xf>
    <xf numFmtId="0" fontId="7" fillId="0" borderId="11" xfId="0" applyFont="1" applyFill="1" applyBorder="1" applyAlignment="1">
      <alignment horizontal="center" vertical="top" wrapText="1"/>
    </xf>
    <xf numFmtId="0" fontId="7" fillId="0" borderId="12" xfId="0" applyFont="1" applyFill="1" applyBorder="1" applyAlignment="1">
      <alignment horizontal="center" vertical="top" wrapText="1"/>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9" xfId="0" applyFont="1" applyFill="1" applyBorder="1" applyAlignment="1">
      <alignment horizontal="center" vertical="center"/>
    </xf>
    <xf numFmtId="0" fontId="7" fillId="0" borderId="3" xfId="0" applyFont="1" applyFill="1" applyBorder="1" applyAlignment="1">
      <alignment horizontal="center"/>
    </xf>
    <xf numFmtId="0" fontId="7" fillId="0" borderId="4" xfId="0" applyFont="1" applyFill="1" applyBorder="1" applyAlignment="1">
      <alignment horizontal="center"/>
    </xf>
    <xf numFmtId="166" fontId="0" fillId="0" borderId="0" xfId="0" applyNumberFormat="1"/>
    <xf numFmtId="165" fontId="0" fillId="0" borderId="0" xfId="0" applyNumberFormat="1"/>
    <xf numFmtId="2" fontId="0" fillId="0" borderId="0" xfId="0" applyNumberFormat="1"/>
  </cellXfs>
  <cellStyles count="1">
    <cellStyle name="Normal" xfId="0" builtinId="0"/>
  </cellStyles>
  <dxfs count="49">
    <dxf>
      <numFmt numFmtId="27" formatCode="m/d/yyyy\ h:mm"/>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426720</xdr:colOff>
          <xdr:row>1</xdr:row>
          <xdr:rowOff>121920</xdr:rowOff>
        </xdr:from>
        <xdr:to>
          <xdr:col>3</xdr:col>
          <xdr:colOff>419100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New Ticket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594360</xdr:colOff>
          <xdr:row>1</xdr:row>
          <xdr:rowOff>137160</xdr:rowOff>
        </xdr:from>
        <xdr:to>
          <xdr:col>6</xdr:col>
          <xdr:colOff>609600</xdr:colOff>
          <xdr:row>5</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Shop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419100</xdr:colOff>
          <xdr:row>5</xdr:row>
          <xdr:rowOff>121920</xdr:rowOff>
        </xdr:from>
        <xdr:to>
          <xdr:col>3</xdr:col>
          <xdr:colOff>411480</xdr:colOff>
          <xdr:row>8</xdr:row>
          <xdr:rowOff>175260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Checkout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594360</xdr:colOff>
          <xdr:row>5</xdr:row>
          <xdr:rowOff>137160</xdr:rowOff>
        </xdr:from>
        <xdr:to>
          <xdr:col>6</xdr:col>
          <xdr:colOff>579120</xdr:colOff>
          <xdr:row>8</xdr:row>
          <xdr:rowOff>182880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Send Work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160020</xdr:colOff>
          <xdr:row>1</xdr:row>
          <xdr:rowOff>121920</xdr:rowOff>
        </xdr:from>
        <xdr:to>
          <xdr:col>10</xdr:col>
          <xdr:colOff>213360</xdr:colOff>
          <xdr:row>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Shop Ticket Status 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251460</xdr:colOff>
          <xdr:row>0</xdr:row>
          <xdr:rowOff>83820</xdr:rowOff>
        </xdr:from>
        <xdr:to>
          <xdr:col>5</xdr:col>
          <xdr:colOff>106680</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on Error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0000-000000000000}" autoFormatId="16" applyNumberFormats="0" applyBorderFormats="0" applyFontFormats="0" applyPatternFormats="0" applyAlignmentFormats="0" applyWidthHeightFormats="0">
  <queryTableRefresh nextId="52">
    <queryTableFields count="51">
      <queryTableField id="1" name="ID" tableColumnId="1"/>
      <queryTableField id="2" name="TKT" tableColumnId="2"/>
      <queryTableField id="3" name="TKN" tableColumnId="3"/>
      <queryTableField id="4" name="REP" tableColumnId="4"/>
      <queryTableField id="5" name="CLR" tableColumnId="5"/>
      <queryTableField id="6" name="MK" tableColumnId="6"/>
      <queryTableField id="7" name="MD" tableColumnId="7"/>
      <queryTableField id="8" name="CNM" tableColumnId="8"/>
      <queryTableField id="9" name="CWID" tableColumnId="9"/>
      <queryTableField id="10" name="EMAIL" tableColumnId="10"/>
      <queryTableField id="11" name="PHN" tableColumnId="11"/>
      <queryTableField id="12" name="DATEIN" tableColumnId="12"/>
      <queryTableField id="13" name="DATEOUT" tableColumnId="13"/>
      <queryTableField id="14" name="FLAT" tableColumnId="14"/>
      <queryTableField id="15" name="TUNE" tableColumnId="15"/>
      <queryTableField id="16" name="BRAKE" tableColumnId="16"/>
      <queryTableField id="17" name="DER" tableColumnId="17"/>
      <queryTableField id="18" name="TRU" tableColumnId="18"/>
      <queryTableField id="19" name="HUB" tableColumnId="19"/>
      <queryTableField id="20" name="BB" tableColumnId="20"/>
      <queryTableField id="21" name="HSET" tableColumnId="21"/>
      <queryTableField id="22" name="CCMT" tableColumnId="22"/>
      <queryTableField id="23" name="MCMT1" tableColumnId="23"/>
      <queryTableField id="24" name="MCMT2" tableColumnId="24"/>
      <queryTableField id="25" name="MCMT3" tableColumnId="25"/>
      <queryTableField id="26" name="MCMT4" tableColumnId="26"/>
      <queryTableField id="27" name="MCMT5" tableColumnId="27"/>
      <queryTableField id="28" name="PPFLAT" tableColumnId="28"/>
      <queryTableField id="29" name="PPTUNE" tableColumnId="29"/>
      <queryTableField id="30" name="PPBRAKE" tableColumnId="30"/>
      <queryTableField id="31" name="PPDER" tableColumnId="31"/>
      <queryTableField id="32" name="PPTRU" tableColumnId="32"/>
      <queryTableField id="33" name="PPHUB" tableColumnId="33"/>
      <queryTableField id="34" name="PPBB" tableColumnId="34"/>
      <queryTableField id="35" name="PPHSET" tableColumnId="35"/>
      <queryTableField id="36" name="PLFLAT" tableColumnId="36"/>
      <queryTableField id="37" name="PLTUNE" tableColumnId="37"/>
      <queryTableField id="38" name="PLBRAKE" tableColumnId="38"/>
      <queryTableField id="39" name="PLDER" tableColumnId="39"/>
      <queryTableField id="40" name="PLTRU" tableColumnId="40"/>
      <queryTableField id="41" name="PLHUB" tableColumnId="41"/>
      <queryTableField id="42" name="PLBB" tableColumnId="42"/>
      <queryTableField id="43" name="PLHSET" tableColumnId="43"/>
      <queryTableField id="44" name="PPOTHER" tableColumnId="44"/>
      <queryTableField id="45" name="PLOTHER" tableColumnId="45"/>
      <queryTableField id="46" name="STATUS" tableColumnId="46"/>
      <queryTableField id="47" name="PLT" tableColumnId="47"/>
      <queryTableField id="48" name="PPT" tableColumnId="48"/>
      <queryTableField id="49" name="TOT" tableColumnId="49"/>
      <queryTableField id="50" name="CLDQUT" tableColumnId="50"/>
      <queryTableField id="51" name="CLDCMP" tableColumnId="5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ExternalData_1" displayName="Table_ExternalData_1" ref="A1:AY11" tableType="queryTable" totalsRowShown="0">
  <autoFilter ref="A1:AY11" xr:uid="{FC46CBA5-C661-45FD-AC6D-C94FA23EA763}"/>
  <tableColumns count="51">
    <tableColumn id="1" xr3:uid="{00000000-0010-0000-0000-000001000000}" uniqueName="1" name="ID" queryTableFieldId="1"/>
    <tableColumn id="2" xr3:uid="{00000000-0010-0000-0000-000002000000}" uniqueName="2" name="TKT" queryTableFieldId="2"/>
    <tableColumn id="3" xr3:uid="{00000000-0010-0000-0000-000003000000}" uniqueName="3" name="TKN" queryTableFieldId="3" dataDxfId="48"/>
    <tableColumn id="4" xr3:uid="{00000000-0010-0000-0000-000004000000}" uniqueName="4" name="REP" queryTableFieldId="4" dataDxfId="47"/>
    <tableColumn id="5" xr3:uid="{00000000-0010-0000-0000-000005000000}" uniqueName="5" name="CLR" queryTableFieldId="5" dataDxfId="46"/>
    <tableColumn id="6" xr3:uid="{00000000-0010-0000-0000-000006000000}" uniqueName="6" name="MK" queryTableFieldId="6" dataDxfId="45"/>
    <tableColumn id="7" xr3:uid="{00000000-0010-0000-0000-000007000000}" uniqueName="7" name="MD" queryTableFieldId="7" dataDxfId="44"/>
    <tableColumn id="8" xr3:uid="{00000000-0010-0000-0000-000008000000}" uniqueName="8" name="CNM" queryTableFieldId="8" dataDxfId="43"/>
    <tableColumn id="9" xr3:uid="{00000000-0010-0000-0000-000009000000}" uniqueName="9" name="CWID" queryTableFieldId="9" dataDxfId="42"/>
    <tableColumn id="10" xr3:uid="{00000000-0010-0000-0000-00000A000000}" uniqueName="10" name="EMAIL" queryTableFieldId="10" dataDxfId="41"/>
    <tableColumn id="11" xr3:uid="{00000000-0010-0000-0000-00000B000000}" uniqueName="11" name="PHN" queryTableFieldId="11" dataDxfId="40"/>
    <tableColumn id="12" xr3:uid="{00000000-0010-0000-0000-00000C000000}" uniqueName="12" name="DATEIN" queryTableFieldId="12" dataDxfId="39"/>
    <tableColumn id="13" xr3:uid="{00000000-0010-0000-0000-00000D000000}" uniqueName="13" name="DATEOUT" queryTableFieldId="13" dataDxfId="38"/>
    <tableColumn id="14" xr3:uid="{00000000-0010-0000-0000-00000E000000}" uniqueName="14" name="FLAT" queryTableFieldId="14" dataDxfId="37"/>
    <tableColumn id="15" xr3:uid="{00000000-0010-0000-0000-00000F000000}" uniqueName="15" name="TUNE" queryTableFieldId="15" dataDxfId="36"/>
    <tableColumn id="16" xr3:uid="{00000000-0010-0000-0000-000010000000}" uniqueName="16" name="BRAKE" queryTableFieldId="16" dataDxfId="35"/>
    <tableColumn id="17" xr3:uid="{00000000-0010-0000-0000-000011000000}" uniqueName="17" name="DER" queryTableFieldId="17" dataDxfId="34"/>
    <tableColumn id="18" xr3:uid="{00000000-0010-0000-0000-000012000000}" uniqueName="18" name="TRU" queryTableFieldId="18" dataDxfId="33"/>
    <tableColumn id="19" xr3:uid="{00000000-0010-0000-0000-000013000000}" uniqueName="19" name="HUB" queryTableFieldId="19" dataDxfId="32"/>
    <tableColumn id="20" xr3:uid="{00000000-0010-0000-0000-000014000000}" uniqueName="20" name="BB" queryTableFieldId="20" dataDxfId="31"/>
    <tableColumn id="21" xr3:uid="{00000000-0010-0000-0000-000015000000}" uniqueName="21" name="HSET" queryTableFieldId="21" dataDxfId="30"/>
    <tableColumn id="22" xr3:uid="{00000000-0010-0000-0000-000016000000}" uniqueName="22" name="CCMT" queryTableFieldId="22" dataDxfId="29"/>
    <tableColumn id="23" xr3:uid="{00000000-0010-0000-0000-000017000000}" uniqueName="23" name="MCMT1" queryTableFieldId="23" dataDxfId="28"/>
    <tableColumn id="24" xr3:uid="{00000000-0010-0000-0000-000018000000}" uniqueName="24" name="MCMT2" queryTableFieldId="24" dataDxfId="27"/>
    <tableColumn id="25" xr3:uid="{00000000-0010-0000-0000-000019000000}" uniqueName="25" name="MCMT3" queryTableFieldId="25" dataDxfId="26"/>
    <tableColumn id="26" xr3:uid="{00000000-0010-0000-0000-00001A000000}" uniqueName="26" name="MCMT4" queryTableFieldId="26" dataDxfId="25"/>
    <tableColumn id="27" xr3:uid="{00000000-0010-0000-0000-00001B000000}" uniqueName="27" name="MCMT5" queryTableFieldId="27" dataDxfId="24"/>
    <tableColumn id="28" xr3:uid="{00000000-0010-0000-0000-00001C000000}" uniqueName="28" name="PPFLAT" queryTableFieldId="28" dataDxfId="23"/>
    <tableColumn id="29" xr3:uid="{00000000-0010-0000-0000-00001D000000}" uniqueName="29" name="PPTUNE" queryTableFieldId="29" dataDxfId="22"/>
    <tableColumn id="30" xr3:uid="{00000000-0010-0000-0000-00001E000000}" uniqueName="30" name="PPBRAKE" queryTableFieldId="30" dataDxfId="21"/>
    <tableColumn id="31" xr3:uid="{00000000-0010-0000-0000-00001F000000}" uniqueName="31" name="PPDER" queryTableFieldId="31" dataDxfId="20"/>
    <tableColumn id="32" xr3:uid="{00000000-0010-0000-0000-000020000000}" uniqueName="32" name="PPTRU" queryTableFieldId="32" dataDxfId="19"/>
    <tableColumn id="33" xr3:uid="{00000000-0010-0000-0000-000021000000}" uniqueName="33" name="PPHUB" queryTableFieldId="33" dataDxfId="18"/>
    <tableColumn id="34" xr3:uid="{00000000-0010-0000-0000-000022000000}" uniqueName="34" name="PPBB" queryTableFieldId="34" dataDxfId="17"/>
    <tableColumn id="35" xr3:uid="{00000000-0010-0000-0000-000023000000}" uniqueName="35" name="PPHSET" queryTableFieldId="35" dataDxfId="16"/>
    <tableColumn id="36" xr3:uid="{00000000-0010-0000-0000-000024000000}" uniqueName="36" name="PLFLAT" queryTableFieldId="36" dataDxfId="15"/>
    <tableColumn id="37" xr3:uid="{00000000-0010-0000-0000-000025000000}" uniqueName="37" name="PLTUNE" queryTableFieldId="37" dataDxfId="14"/>
    <tableColumn id="38" xr3:uid="{00000000-0010-0000-0000-000026000000}" uniqueName="38" name="PLBRAKE" queryTableFieldId="38" dataDxfId="13"/>
    <tableColumn id="39" xr3:uid="{00000000-0010-0000-0000-000027000000}" uniqueName="39" name="PLDER" queryTableFieldId="39" dataDxfId="12"/>
    <tableColumn id="40" xr3:uid="{00000000-0010-0000-0000-000028000000}" uniqueName="40" name="PLTRU" queryTableFieldId="40" dataDxfId="11"/>
    <tableColumn id="41" xr3:uid="{00000000-0010-0000-0000-000029000000}" uniqueName="41" name="PLHUB" queryTableFieldId="41" dataDxfId="10"/>
    <tableColumn id="42" xr3:uid="{00000000-0010-0000-0000-00002A000000}" uniqueName="42" name="PLBB" queryTableFieldId="42" dataDxfId="9"/>
    <tableColumn id="43" xr3:uid="{00000000-0010-0000-0000-00002B000000}" uniqueName="43" name="PLHSET" queryTableFieldId="43" dataDxfId="8"/>
    <tableColumn id="44" xr3:uid="{00000000-0010-0000-0000-00002C000000}" uniqueName="44" name="PPOTHER" queryTableFieldId="44" dataDxfId="7"/>
    <tableColumn id="45" xr3:uid="{00000000-0010-0000-0000-00002D000000}" uniqueName="45" name="PLOTHER" queryTableFieldId="45" dataDxfId="6"/>
    <tableColumn id="46" xr3:uid="{00000000-0010-0000-0000-00002E000000}" uniqueName="46" name="STATUS" queryTableFieldId="46" dataDxfId="5"/>
    <tableColumn id="47" xr3:uid="{00000000-0010-0000-0000-00002F000000}" uniqueName="47" name="PLT" queryTableFieldId="47" dataDxfId="4"/>
    <tableColumn id="48" xr3:uid="{00000000-0010-0000-0000-000030000000}" uniqueName="48" name="PPT" queryTableFieldId="48" dataDxfId="3"/>
    <tableColumn id="49" xr3:uid="{00000000-0010-0000-0000-000031000000}" uniqueName="49" name="TOT" queryTableFieldId="49" dataDxfId="2"/>
    <tableColumn id="50" xr3:uid="{00000000-0010-0000-0000-000032000000}" uniqueName="50" name="CLDQUT" queryTableFieldId="50" dataDxfId="1"/>
    <tableColumn id="51" xr3:uid="{00000000-0010-0000-0000-000033000000}" uniqueName="51" name="CLDCMP" queryTableFieldId="5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Y11"/>
  <sheetViews>
    <sheetView topLeftCell="X1" workbookViewId="0">
      <selection activeCell="AK7" sqref="AK7"/>
    </sheetView>
  </sheetViews>
  <sheetFormatPr defaultRowHeight="14.4" x14ac:dyDescent="0.3"/>
  <cols>
    <col min="1" max="1" width="5" bestFit="1" customWidth="1"/>
    <col min="2" max="2" width="6.33203125" bestFit="1" customWidth="1"/>
    <col min="3" max="3" width="12" customWidth="1"/>
    <col min="4" max="4" width="6.44140625" bestFit="1" customWidth="1"/>
    <col min="5" max="5" width="6.33203125" bestFit="1" customWidth="1"/>
    <col min="6" max="6" width="19.77734375" bestFit="1" customWidth="1"/>
    <col min="7" max="7" width="11.109375" bestFit="1" customWidth="1"/>
    <col min="8" max="8" width="14" bestFit="1" customWidth="1"/>
    <col min="9" max="9" width="9" customWidth="1"/>
    <col min="10" max="10" width="23.77734375" bestFit="1" customWidth="1"/>
    <col min="11" max="11" width="11" bestFit="1" customWidth="1"/>
    <col min="12" max="12" width="21.6640625" style="49" bestFit="1" customWidth="1"/>
    <col min="13" max="13" width="20.44140625" bestFit="1" customWidth="1"/>
    <col min="14" max="14" width="11.33203125" bestFit="1" customWidth="1"/>
    <col min="15" max="15" width="7.88671875" bestFit="1" customWidth="1"/>
    <col min="16" max="19" width="11.33203125" bestFit="1" customWidth="1"/>
    <col min="20" max="20" width="5.44140625" bestFit="1" customWidth="1"/>
    <col min="21" max="21" width="7.44140625" bestFit="1" customWidth="1"/>
    <col min="22" max="22" width="39.77734375" bestFit="1" customWidth="1"/>
    <col min="23" max="23" width="80.88671875" bestFit="1" customWidth="1"/>
    <col min="24" max="27" width="9.88671875" bestFit="1" customWidth="1"/>
    <col min="28" max="28" width="9.44140625" bestFit="1" customWidth="1"/>
    <col min="29" max="29" width="10.109375" bestFit="1" customWidth="1"/>
    <col min="30" max="30" width="11" bestFit="1" customWidth="1"/>
    <col min="31" max="31" width="8.77734375" bestFit="1" customWidth="1"/>
    <col min="32" max="32" width="8.88671875" bestFit="1" customWidth="1"/>
    <col min="33" max="33" width="9.109375" bestFit="1" customWidth="1"/>
    <col min="34" max="34" width="7.6640625" bestFit="1" customWidth="1"/>
    <col min="35" max="35" width="9.6640625" bestFit="1" customWidth="1"/>
    <col min="36" max="36" width="9.21875" bestFit="1" customWidth="1"/>
    <col min="37" max="37" width="9.88671875" bestFit="1" customWidth="1"/>
    <col min="38" max="38" width="10.77734375" bestFit="1" customWidth="1"/>
    <col min="39" max="39" width="8.5546875" bestFit="1" customWidth="1"/>
    <col min="40" max="40" width="8.6640625" bestFit="1" customWidth="1"/>
    <col min="41" max="41" width="8.88671875" bestFit="1" customWidth="1"/>
    <col min="42" max="42" width="7.44140625" bestFit="1" customWidth="1"/>
    <col min="43" max="43" width="9.44140625" bestFit="1" customWidth="1"/>
    <col min="44" max="44" width="11.109375" bestFit="1" customWidth="1"/>
    <col min="45" max="45" width="10.88671875" bestFit="1" customWidth="1"/>
    <col min="46" max="46" width="10" bestFit="1" customWidth="1"/>
    <col min="47" max="47" width="6.21875" bestFit="1" customWidth="1"/>
    <col min="48" max="48" width="6.44140625" bestFit="1" customWidth="1"/>
    <col min="49" max="49" width="6.5546875" bestFit="1" customWidth="1"/>
    <col min="50" max="51" width="15.6640625" bestFit="1" customWidth="1"/>
  </cols>
  <sheetData>
    <row r="1" spans="1:51" x14ac:dyDescent="0.3">
      <c r="A1" t="s">
        <v>17</v>
      </c>
      <c r="B1" t="s">
        <v>0</v>
      </c>
      <c r="C1" t="s">
        <v>18</v>
      </c>
      <c r="D1" t="s">
        <v>19</v>
      </c>
      <c r="E1" t="s">
        <v>1</v>
      </c>
      <c r="F1" t="s">
        <v>2</v>
      </c>
      <c r="G1" t="s">
        <v>3</v>
      </c>
      <c r="H1" t="s">
        <v>4</v>
      </c>
      <c r="I1" t="s">
        <v>20</v>
      </c>
      <c r="J1" t="s">
        <v>21</v>
      </c>
      <c r="K1" t="s">
        <v>5</v>
      </c>
      <c r="L1" s="49" t="s">
        <v>6</v>
      </c>
      <c r="M1" t="s">
        <v>22</v>
      </c>
      <c r="N1" t="s">
        <v>7</v>
      </c>
      <c r="O1" t="s">
        <v>8</v>
      </c>
      <c r="P1" t="s">
        <v>9</v>
      </c>
      <c r="Q1" t="s">
        <v>10</v>
      </c>
      <c r="R1" t="s">
        <v>11</v>
      </c>
      <c r="S1" t="s">
        <v>12</v>
      </c>
      <c r="T1" t="s">
        <v>13</v>
      </c>
      <c r="U1" t="s">
        <v>14</v>
      </c>
      <c r="V1" t="s">
        <v>15</v>
      </c>
      <c r="W1" t="s">
        <v>23</v>
      </c>
      <c r="X1" t="s">
        <v>24</v>
      </c>
      <c r="Y1" t="s">
        <v>25</v>
      </c>
      <c r="Z1" t="s">
        <v>26</v>
      </c>
      <c r="AA1" t="s">
        <v>27</v>
      </c>
      <c r="AB1" t="s">
        <v>28</v>
      </c>
      <c r="AC1" t="s">
        <v>29</v>
      </c>
      <c r="AD1" t="s">
        <v>30</v>
      </c>
      <c r="AE1" t="s">
        <v>31</v>
      </c>
      <c r="AF1" t="s">
        <v>32</v>
      </c>
      <c r="AG1" t="s">
        <v>33</v>
      </c>
      <c r="AH1" t="s">
        <v>34</v>
      </c>
      <c r="AI1" t="s">
        <v>35</v>
      </c>
      <c r="AJ1" t="s">
        <v>36</v>
      </c>
      <c r="AK1" t="s">
        <v>37</v>
      </c>
      <c r="AL1" t="s">
        <v>38</v>
      </c>
      <c r="AM1" t="s">
        <v>39</v>
      </c>
      <c r="AN1" t="s">
        <v>40</v>
      </c>
      <c r="AO1" t="s">
        <v>41</v>
      </c>
      <c r="AP1" t="s">
        <v>42</v>
      </c>
      <c r="AQ1" t="s">
        <v>43</v>
      </c>
      <c r="AR1" t="s">
        <v>44</v>
      </c>
      <c r="AS1" t="s">
        <v>45</v>
      </c>
      <c r="AT1" t="s">
        <v>46</v>
      </c>
      <c r="AU1" t="s">
        <v>47</v>
      </c>
      <c r="AV1" t="s">
        <v>48</v>
      </c>
      <c r="AW1" t="s">
        <v>49</v>
      </c>
      <c r="AX1" t="s">
        <v>165</v>
      </c>
      <c r="AY1" t="s">
        <v>166</v>
      </c>
    </row>
    <row r="2" spans="1:51" x14ac:dyDescent="0.3">
      <c r="A2">
        <v>61</v>
      </c>
      <c r="B2">
        <v>19</v>
      </c>
      <c r="C2" s="32" t="s">
        <v>83</v>
      </c>
      <c r="D2" s="32"/>
      <c r="E2" s="32" t="s">
        <v>16</v>
      </c>
      <c r="F2" s="32" t="s">
        <v>16</v>
      </c>
      <c r="G2" s="32" t="s">
        <v>16</v>
      </c>
      <c r="H2" s="32" t="s">
        <v>84</v>
      </c>
      <c r="I2" s="32" t="s">
        <v>77</v>
      </c>
      <c r="J2" s="32" t="s">
        <v>16</v>
      </c>
      <c r="K2" s="32" t="s">
        <v>16</v>
      </c>
      <c r="L2" s="49" t="s">
        <v>85</v>
      </c>
      <c r="M2" s="32"/>
      <c r="N2" s="32" t="s">
        <v>50</v>
      </c>
      <c r="O2" s="32" t="s">
        <v>16</v>
      </c>
      <c r="P2" s="32" t="s">
        <v>16</v>
      </c>
      <c r="Q2" s="32" t="s">
        <v>16</v>
      </c>
      <c r="R2" s="32" t="s">
        <v>16</v>
      </c>
      <c r="S2" s="32" t="s">
        <v>16</v>
      </c>
      <c r="T2" s="32"/>
      <c r="U2" s="32"/>
      <c r="V2" s="32" t="s">
        <v>86</v>
      </c>
      <c r="W2" s="32"/>
      <c r="X2" s="32"/>
      <c r="Y2" s="32"/>
      <c r="Z2" s="32"/>
      <c r="AA2" s="32"/>
      <c r="AB2" s="32"/>
      <c r="AC2" s="32"/>
      <c r="AD2" s="32"/>
      <c r="AE2" s="32"/>
      <c r="AF2" s="32"/>
      <c r="AG2" s="32"/>
      <c r="AH2" s="32"/>
      <c r="AI2" s="32"/>
      <c r="AJ2" s="32"/>
      <c r="AK2" s="32"/>
      <c r="AL2" s="32"/>
      <c r="AM2" s="32"/>
      <c r="AN2" s="32"/>
      <c r="AO2" s="32"/>
      <c r="AP2" s="32"/>
      <c r="AQ2" s="32"/>
      <c r="AR2" s="32"/>
      <c r="AS2" s="32"/>
      <c r="AT2" s="32" t="s">
        <v>16</v>
      </c>
      <c r="AU2" s="32"/>
      <c r="AV2" s="32"/>
      <c r="AW2" s="32"/>
      <c r="AX2" s="50"/>
      <c r="AY2" s="50"/>
    </row>
    <row r="3" spans="1:51" x14ac:dyDescent="0.3">
      <c r="A3">
        <v>89</v>
      </c>
      <c r="B3">
        <v>33</v>
      </c>
      <c r="C3" s="32" t="s">
        <v>120</v>
      </c>
      <c r="D3" s="32"/>
      <c r="E3" s="32" t="s">
        <v>121</v>
      </c>
      <c r="F3" s="32" t="s">
        <v>122</v>
      </c>
      <c r="G3" s="32" t="s">
        <v>123</v>
      </c>
      <c r="H3" s="32" t="s">
        <v>124</v>
      </c>
      <c r="I3" s="32" t="s">
        <v>125</v>
      </c>
      <c r="J3" s="32" t="s">
        <v>126</v>
      </c>
      <c r="K3" s="32" t="s">
        <v>127</v>
      </c>
      <c r="L3" s="49" t="s">
        <v>128</v>
      </c>
      <c r="M3" s="32" t="s">
        <v>185</v>
      </c>
      <c r="N3" s="32" t="s">
        <v>16</v>
      </c>
      <c r="O3" s="32" t="s">
        <v>78</v>
      </c>
      <c r="P3" s="32" t="s">
        <v>16</v>
      </c>
      <c r="Q3" s="32" t="s">
        <v>16</v>
      </c>
      <c r="R3" s="32" t="s">
        <v>16</v>
      </c>
      <c r="S3" s="32" t="s">
        <v>16</v>
      </c>
      <c r="T3" s="32"/>
      <c r="U3" s="32"/>
      <c r="V3" s="32" t="s">
        <v>129</v>
      </c>
      <c r="W3" s="32" t="s">
        <v>139</v>
      </c>
      <c r="X3" s="32"/>
      <c r="Y3" s="32"/>
      <c r="Z3" s="32"/>
      <c r="AA3" s="32"/>
      <c r="AB3" s="32" t="s">
        <v>51</v>
      </c>
      <c r="AC3" s="32" t="s">
        <v>51</v>
      </c>
      <c r="AD3" s="32" t="s">
        <v>51</v>
      </c>
      <c r="AE3" s="32" t="s">
        <v>51</v>
      </c>
      <c r="AF3" s="32" t="s">
        <v>51</v>
      </c>
      <c r="AG3" s="32" t="s">
        <v>51</v>
      </c>
      <c r="AH3" s="32" t="s">
        <v>51</v>
      </c>
      <c r="AI3" s="32" t="s">
        <v>51</v>
      </c>
      <c r="AJ3" s="32" t="s">
        <v>51</v>
      </c>
      <c r="AK3" s="32" t="s">
        <v>118</v>
      </c>
      <c r="AL3" s="32" t="s">
        <v>51</v>
      </c>
      <c r="AM3" s="32" t="s">
        <v>51</v>
      </c>
      <c r="AN3" s="32" t="s">
        <v>51</v>
      </c>
      <c r="AO3" s="32" t="s">
        <v>51</v>
      </c>
      <c r="AP3" s="32" t="s">
        <v>51</v>
      </c>
      <c r="AQ3" s="32" t="s">
        <v>51</v>
      </c>
      <c r="AR3" s="32" t="s">
        <v>51</v>
      </c>
      <c r="AS3" s="32" t="s">
        <v>140</v>
      </c>
      <c r="AT3" s="32" t="s">
        <v>80</v>
      </c>
      <c r="AU3" s="32" t="s">
        <v>117</v>
      </c>
      <c r="AV3" s="32" t="s">
        <v>51</v>
      </c>
      <c r="AW3" s="32" t="s">
        <v>117</v>
      </c>
      <c r="AX3" s="50"/>
      <c r="AY3" s="50">
        <v>43419.715185185189</v>
      </c>
    </row>
    <row r="4" spans="1:51" x14ac:dyDescent="0.3">
      <c r="A4">
        <v>90</v>
      </c>
      <c r="B4">
        <v>34</v>
      </c>
      <c r="C4" s="32" t="s">
        <v>87</v>
      </c>
      <c r="D4" s="32"/>
      <c r="E4" s="32" t="s">
        <v>130</v>
      </c>
      <c r="F4" s="32" t="s">
        <v>131</v>
      </c>
      <c r="G4" s="32" t="s">
        <v>88</v>
      </c>
      <c r="H4" s="32" t="s">
        <v>132</v>
      </c>
      <c r="I4" s="32" t="s">
        <v>133</v>
      </c>
      <c r="J4" s="32" t="s">
        <v>134</v>
      </c>
      <c r="K4" s="32" t="s">
        <v>135</v>
      </c>
      <c r="L4" s="49" t="s">
        <v>136</v>
      </c>
      <c r="M4" s="32" t="s">
        <v>186</v>
      </c>
      <c r="N4" s="32" t="s">
        <v>16</v>
      </c>
      <c r="O4" s="32" t="s">
        <v>81</v>
      </c>
      <c r="P4" s="32" t="s">
        <v>16</v>
      </c>
      <c r="Q4" s="32" t="s">
        <v>16</v>
      </c>
      <c r="R4" s="32" t="s">
        <v>16</v>
      </c>
      <c r="S4" s="32" t="s">
        <v>16</v>
      </c>
      <c r="T4" s="32"/>
      <c r="U4" s="32"/>
      <c r="V4" s="32" t="s">
        <v>16</v>
      </c>
      <c r="W4" s="32" t="s">
        <v>187</v>
      </c>
      <c r="X4" s="32"/>
      <c r="Y4" s="32"/>
      <c r="Z4" s="32"/>
      <c r="AA4" s="32"/>
      <c r="AB4" s="32" t="s">
        <v>51</v>
      </c>
      <c r="AC4" s="32" t="s">
        <v>51</v>
      </c>
      <c r="AD4" s="32" t="s">
        <v>51</v>
      </c>
      <c r="AE4" s="32" t="s">
        <v>51</v>
      </c>
      <c r="AF4" s="32" t="s">
        <v>51</v>
      </c>
      <c r="AG4" s="32" t="s">
        <v>51</v>
      </c>
      <c r="AH4" s="32" t="s">
        <v>51</v>
      </c>
      <c r="AI4" s="32" t="s">
        <v>51</v>
      </c>
      <c r="AJ4" s="32" t="s">
        <v>51</v>
      </c>
      <c r="AK4" s="32" t="s">
        <v>51</v>
      </c>
      <c r="AL4" s="32" t="s">
        <v>51</v>
      </c>
      <c r="AM4" s="32" t="s">
        <v>51</v>
      </c>
      <c r="AN4" s="32" t="s">
        <v>51</v>
      </c>
      <c r="AO4" s="32" t="s">
        <v>51</v>
      </c>
      <c r="AP4" s="32" t="s">
        <v>51</v>
      </c>
      <c r="AQ4" s="32" t="s">
        <v>51</v>
      </c>
      <c r="AR4" s="32" t="s">
        <v>51</v>
      </c>
      <c r="AS4" s="32" t="s">
        <v>82</v>
      </c>
      <c r="AT4" s="32" t="s">
        <v>80</v>
      </c>
      <c r="AU4" s="32" t="s">
        <v>82</v>
      </c>
      <c r="AV4" s="32" t="s">
        <v>51</v>
      </c>
      <c r="AW4" s="32" t="s">
        <v>82</v>
      </c>
      <c r="AX4" s="50"/>
      <c r="AY4" s="50">
        <v>43419.723703703705</v>
      </c>
    </row>
    <row r="5" spans="1:51" x14ac:dyDescent="0.3">
      <c r="A5">
        <v>95</v>
      </c>
      <c r="B5">
        <v>39</v>
      </c>
      <c r="C5" s="32" t="s">
        <v>16</v>
      </c>
      <c r="D5" s="32"/>
      <c r="E5" s="32" t="s">
        <v>109</v>
      </c>
      <c r="F5" s="32" t="s">
        <v>142</v>
      </c>
      <c r="G5" s="32" t="s">
        <v>119</v>
      </c>
      <c r="H5" s="32" t="s">
        <v>143</v>
      </c>
      <c r="I5" s="32" t="s">
        <v>144</v>
      </c>
      <c r="J5" s="32" t="s">
        <v>145</v>
      </c>
      <c r="K5" s="32" t="s">
        <v>146</v>
      </c>
      <c r="L5" s="49" t="s">
        <v>147</v>
      </c>
      <c r="M5" s="32" t="s">
        <v>16</v>
      </c>
      <c r="N5" s="32" t="s">
        <v>50</v>
      </c>
      <c r="O5" s="32" t="s">
        <v>16</v>
      </c>
      <c r="P5" s="32" t="s">
        <v>16</v>
      </c>
      <c r="Q5" s="32" t="s">
        <v>16</v>
      </c>
      <c r="R5" s="32" t="s">
        <v>16</v>
      </c>
      <c r="S5" s="32" t="s">
        <v>16</v>
      </c>
      <c r="T5" s="32"/>
      <c r="U5" s="32"/>
      <c r="V5" s="32" t="s">
        <v>16</v>
      </c>
      <c r="W5" s="32" t="s">
        <v>148</v>
      </c>
      <c r="X5" s="32"/>
      <c r="Y5" s="32"/>
      <c r="Z5" s="32"/>
      <c r="AA5" s="32"/>
      <c r="AB5" s="32" t="s">
        <v>51</v>
      </c>
      <c r="AC5" s="32" t="s">
        <v>51</v>
      </c>
      <c r="AD5" s="32" t="s">
        <v>51</v>
      </c>
      <c r="AE5" s="32" t="s">
        <v>51</v>
      </c>
      <c r="AF5" s="32" t="s">
        <v>51</v>
      </c>
      <c r="AG5" s="32" t="s">
        <v>51</v>
      </c>
      <c r="AH5" s="32" t="s">
        <v>51</v>
      </c>
      <c r="AI5" s="32" t="s">
        <v>51</v>
      </c>
      <c r="AJ5" s="32" t="s">
        <v>51</v>
      </c>
      <c r="AK5" s="32" t="s">
        <v>51</v>
      </c>
      <c r="AL5" s="32" t="s">
        <v>51</v>
      </c>
      <c r="AM5" s="32" t="s">
        <v>51</v>
      </c>
      <c r="AN5" s="32" t="s">
        <v>51</v>
      </c>
      <c r="AO5" s="32" t="s">
        <v>51</v>
      </c>
      <c r="AP5" s="32" t="s">
        <v>51</v>
      </c>
      <c r="AQ5" s="32" t="s">
        <v>51</v>
      </c>
      <c r="AR5" s="32" t="s">
        <v>51</v>
      </c>
      <c r="AS5" s="32" t="s">
        <v>51</v>
      </c>
      <c r="AT5" s="32" t="s">
        <v>149</v>
      </c>
      <c r="AU5" s="32" t="s">
        <v>51</v>
      </c>
      <c r="AV5" s="32" t="s">
        <v>51</v>
      </c>
      <c r="AW5" s="32" t="s">
        <v>51</v>
      </c>
      <c r="AX5" s="50"/>
      <c r="AY5" s="50"/>
    </row>
    <row r="6" spans="1:51" x14ac:dyDescent="0.3">
      <c r="A6">
        <v>96</v>
      </c>
      <c r="B6">
        <v>40</v>
      </c>
      <c r="C6" s="32" t="s">
        <v>16</v>
      </c>
      <c r="D6" s="32"/>
      <c r="E6" s="32" t="s">
        <v>137</v>
      </c>
      <c r="F6" s="32" t="s">
        <v>150</v>
      </c>
      <c r="G6" s="32" t="s">
        <v>151</v>
      </c>
      <c r="H6" s="32" t="s">
        <v>152</v>
      </c>
      <c r="I6" s="32" t="s">
        <v>153</v>
      </c>
      <c r="J6" s="32" t="s">
        <v>154</v>
      </c>
      <c r="K6" s="32" t="s">
        <v>155</v>
      </c>
      <c r="L6" s="49" t="s">
        <v>156</v>
      </c>
      <c r="M6" s="32" t="s">
        <v>188</v>
      </c>
      <c r="N6" s="32" t="s">
        <v>79</v>
      </c>
      <c r="O6" s="32" t="s">
        <v>81</v>
      </c>
      <c r="P6" s="32" t="s">
        <v>16</v>
      </c>
      <c r="Q6" s="32" t="s">
        <v>16</v>
      </c>
      <c r="R6" s="32" t="s">
        <v>16</v>
      </c>
      <c r="S6" s="32" t="s">
        <v>16</v>
      </c>
      <c r="T6" s="32"/>
      <c r="U6" s="32"/>
      <c r="V6" s="32" t="s">
        <v>157</v>
      </c>
      <c r="W6" s="32" t="s">
        <v>158</v>
      </c>
      <c r="X6" s="32"/>
      <c r="Y6" s="32"/>
      <c r="Z6" s="32"/>
      <c r="AA6" s="32"/>
      <c r="AB6" s="32" t="s">
        <v>51</v>
      </c>
      <c r="AC6" s="32" t="s">
        <v>51</v>
      </c>
      <c r="AD6" s="32" t="s">
        <v>51</v>
      </c>
      <c r="AE6" s="32" t="s">
        <v>51</v>
      </c>
      <c r="AF6" s="32" t="s">
        <v>51</v>
      </c>
      <c r="AG6" s="32" t="s">
        <v>51</v>
      </c>
      <c r="AH6" s="32" t="s">
        <v>51</v>
      </c>
      <c r="AI6" s="32" t="s">
        <v>51</v>
      </c>
      <c r="AJ6" s="32" t="s">
        <v>51</v>
      </c>
      <c r="AK6" s="32" t="s">
        <v>159</v>
      </c>
      <c r="AL6" s="32" t="s">
        <v>51</v>
      </c>
      <c r="AM6" s="32" t="s">
        <v>51</v>
      </c>
      <c r="AN6" s="32" t="s">
        <v>51</v>
      </c>
      <c r="AO6" s="32" t="s">
        <v>51</v>
      </c>
      <c r="AP6" s="32" t="s">
        <v>51</v>
      </c>
      <c r="AQ6" s="32" t="s">
        <v>51</v>
      </c>
      <c r="AR6" s="32" t="s">
        <v>160</v>
      </c>
      <c r="AS6" s="32" t="s">
        <v>51</v>
      </c>
      <c r="AT6" s="32" t="s">
        <v>80</v>
      </c>
      <c r="AU6" s="32" t="s">
        <v>159</v>
      </c>
      <c r="AV6" s="32" t="s">
        <v>160</v>
      </c>
      <c r="AW6" s="32" t="s">
        <v>138</v>
      </c>
      <c r="AX6" s="50"/>
      <c r="AY6" s="50">
        <v>43419.718819444446</v>
      </c>
    </row>
    <row r="7" spans="1:51" x14ac:dyDescent="0.3">
      <c r="A7">
        <v>97</v>
      </c>
      <c r="B7">
        <v>41</v>
      </c>
      <c r="C7" s="32" t="s">
        <v>87</v>
      </c>
      <c r="D7" s="32"/>
      <c r="E7" s="32" t="s">
        <v>168</v>
      </c>
      <c r="F7" s="32" t="s">
        <v>169</v>
      </c>
      <c r="G7" s="32" t="s">
        <v>88</v>
      </c>
      <c r="H7" s="32" t="s">
        <v>170</v>
      </c>
      <c r="I7" s="32" t="s">
        <v>171</v>
      </c>
      <c r="J7" s="32" t="s">
        <v>172</v>
      </c>
      <c r="K7" s="32" t="s">
        <v>173</v>
      </c>
      <c r="L7" s="49" t="s">
        <v>174</v>
      </c>
      <c r="M7" s="32" t="s">
        <v>189</v>
      </c>
      <c r="N7" s="32" t="s">
        <v>50</v>
      </c>
      <c r="O7" s="32" t="s">
        <v>16</v>
      </c>
      <c r="P7" s="32" t="s">
        <v>16</v>
      </c>
      <c r="Q7" s="32" t="s">
        <v>16</v>
      </c>
      <c r="R7" s="32" t="s">
        <v>16</v>
      </c>
      <c r="S7" s="32" t="s">
        <v>16</v>
      </c>
      <c r="T7" s="32"/>
      <c r="U7" s="32"/>
      <c r="V7" s="32" t="s">
        <v>16</v>
      </c>
      <c r="W7" s="32" t="s">
        <v>16</v>
      </c>
      <c r="X7" s="32"/>
      <c r="Y7" s="32"/>
      <c r="Z7" s="32"/>
      <c r="AA7" s="32"/>
      <c r="AB7" s="32" t="s">
        <v>190</v>
      </c>
      <c r="AC7" s="32" t="s">
        <v>51</v>
      </c>
      <c r="AD7" s="32" t="s">
        <v>51</v>
      </c>
      <c r="AE7" s="32" t="s">
        <v>51</v>
      </c>
      <c r="AF7" s="32" t="s">
        <v>51</v>
      </c>
      <c r="AG7" s="32" t="s">
        <v>51</v>
      </c>
      <c r="AH7" s="32" t="s">
        <v>51</v>
      </c>
      <c r="AI7" s="32" t="s">
        <v>51</v>
      </c>
      <c r="AJ7" s="32" t="s">
        <v>191</v>
      </c>
      <c r="AK7" s="32" t="s">
        <v>51</v>
      </c>
      <c r="AL7" s="32" t="s">
        <v>51</v>
      </c>
      <c r="AM7" s="32" t="s">
        <v>51</v>
      </c>
      <c r="AN7" s="32" t="s">
        <v>51</v>
      </c>
      <c r="AO7" s="32" t="s">
        <v>51</v>
      </c>
      <c r="AP7" s="32" t="s">
        <v>51</v>
      </c>
      <c r="AQ7" s="32" t="s">
        <v>51</v>
      </c>
      <c r="AR7" s="32" t="s">
        <v>51</v>
      </c>
      <c r="AS7" s="32" t="s">
        <v>51</v>
      </c>
      <c r="AT7" s="32" t="s">
        <v>80</v>
      </c>
      <c r="AU7" s="32" t="s">
        <v>191</v>
      </c>
      <c r="AV7" s="32" t="s">
        <v>190</v>
      </c>
      <c r="AW7" s="32" t="s">
        <v>192</v>
      </c>
      <c r="AX7" s="50">
        <v>43419.491076388891</v>
      </c>
      <c r="AY7" s="50">
        <v>43419.499016203707</v>
      </c>
    </row>
    <row r="8" spans="1:51" x14ac:dyDescent="0.3">
      <c r="A8">
        <v>99</v>
      </c>
      <c r="B8">
        <v>45</v>
      </c>
      <c r="C8" s="32" t="s">
        <v>16</v>
      </c>
      <c r="D8" s="32"/>
      <c r="E8" s="32" t="s">
        <v>175</v>
      </c>
      <c r="F8" s="32" t="s">
        <v>176</v>
      </c>
      <c r="G8" s="32" t="s">
        <v>177</v>
      </c>
      <c r="H8" s="32" t="s">
        <v>178</v>
      </c>
      <c r="I8" s="32" t="s">
        <v>179</v>
      </c>
      <c r="J8" s="32" t="s">
        <v>180</v>
      </c>
      <c r="K8" s="32" t="s">
        <v>181</v>
      </c>
      <c r="L8" s="49" t="s">
        <v>182</v>
      </c>
      <c r="M8" s="32" t="s">
        <v>16</v>
      </c>
      <c r="N8" s="32" t="s">
        <v>16</v>
      </c>
      <c r="O8" s="32" t="s">
        <v>81</v>
      </c>
      <c r="P8" s="32" t="s">
        <v>50</v>
      </c>
      <c r="Q8" s="32" t="s">
        <v>183</v>
      </c>
      <c r="R8" s="32" t="s">
        <v>16</v>
      </c>
      <c r="S8" s="32" t="s">
        <v>16</v>
      </c>
      <c r="T8" s="32" t="s">
        <v>184</v>
      </c>
      <c r="U8" s="32"/>
      <c r="V8" s="32" t="s">
        <v>176</v>
      </c>
      <c r="W8" s="32" t="s">
        <v>193</v>
      </c>
      <c r="X8" s="32"/>
      <c r="Y8" s="32"/>
      <c r="Z8" s="32"/>
      <c r="AA8" s="32"/>
      <c r="AB8" s="32" t="s">
        <v>51</v>
      </c>
      <c r="AC8" s="32" t="s">
        <v>51</v>
      </c>
      <c r="AD8" s="32" t="s">
        <v>51</v>
      </c>
      <c r="AE8" s="32" t="s">
        <v>51</v>
      </c>
      <c r="AF8" s="32" t="s">
        <v>51</v>
      </c>
      <c r="AG8" s="32" t="s">
        <v>51</v>
      </c>
      <c r="AH8" s="32" t="s">
        <v>51</v>
      </c>
      <c r="AI8" s="32" t="s">
        <v>51</v>
      </c>
      <c r="AJ8" s="32" t="s">
        <v>51</v>
      </c>
      <c r="AK8" s="32" t="s">
        <v>51</v>
      </c>
      <c r="AL8" s="32" t="s">
        <v>194</v>
      </c>
      <c r="AM8" s="32" t="s">
        <v>51</v>
      </c>
      <c r="AN8" s="32" t="s">
        <v>51</v>
      </c>
      <c r="AO8" s="32" t="s">
        <v>51</v>
      </c>
      <c r="AP8" s="32" t="s">
        <v>51</v>
      </c>
      <c r="AQ8" s="32" t="s">
        <v>51</v>
      </c>
      <c r="AR8" s="32" t="s">
        <v>195</v>
      </c>
      <c r="AS8" s="32" t="s">
        <v>51</v>
      </c>
      <c r="AT8" s="32" t="s">
        <v>196</v>
      </c>
      <c r="AU8" s="32" t="s">
        <v>194</v>
      </c>
      <c r="AV8" s="32" t="s">
        <v>195</v>
      </c>
      <c r="AW8" s="32" t="s">
        <v>197</v>
      </c>
      <c r="AX8" s="50"/>
      <c r="AY8" s="50"/>
    </row>
    <row r="9" spans="1:51" x14ac:dyDescent="0.3">
      <c r="A9">
        <v>101</v>
      </c>
      <c r="B9">
        <v>42</v>
      </c>
      <c r="C9" s="32" t="s">
        <v>16</v>
      </c>
      <c r="D9" s="32"/>
      <c r="E9" s="32" t="s">
        <v>198</v>
      </c>
      <c r="F9" s="32" t="s">
        <v>142</v>
      </c>
      <c r="G9" s="32" t="s">
        <v>199</v>
      </c>
      <c r="H9" s="32" t="s">
        <v>200</v>
      </c>
      <c r="I9" s="32" t="s">
        <v>201</v>
      </c>
      <c r="J9" s="32" t="s">
        <v>202</v>
      </c>
      <c r="K9" s="32" t="s">
        <v>203</v>
      </c>
      <c r="L9" s="66" t="s">
        <v>204</v>
      </c>
      <c r="M9" s="32"/>
      <c r="N9" s="32" t="s">
        <v>16</v>
      </c>
      <c r="O9" s="32" t="s">
        <v>16</v>
      </c>
      <c r="P9" s="32" t="s">
        <v>16</v>
      </c>
      <c r="Q9" s="32" t="s">
        <v>16</v>
      </c>
      <c r="R9" s="32" t="s">
        <v>16</v>
      </c>
      <c r="S9" s="32" t="s">
        <v>16</v>
      </c>
      <c r="T9" s="32"/>
      <c r="U9" s="32"/>
      <c r="V9" s="32" t="s">
        <v>205</v>
      </c>
      <c r="W9" s="32"/>
      <c r="X9" s="32"/>
      <c r="Y9" s="32"/>
      <c r="Z9" s="32"/>
      <c r="AA9" s="32"/>
      <c r="AB9" s="32"/>
      <c r="AC9" s="32"/>
      <c r="AD9" s="32"/>
      <c r="AE9" s="32"/>
      <c r="AF9" s="32"/>
      <c r="AG9" s="32"/>
      <c r="AH9" s="32"/>
      <c r="AI9" s="32"/>
      <c r="AJ9" s="32"/>
      <c r="AK9" s="32"/>
      <c r="AL9" s="32"/>
      <c r="AM9" s="32"/>
      <c r="AN9" s="32"/>
      <c r="AO9" s="32"/>
      <c r="AP9" s="32"/>
      <c r="AQ9" s="32"/>
      <c r="AR9" s="32"/>
      <c r="AS9" s="32"/>
      <c r="AT9" s="32" t="s">
        <v>196</v>
      </c>
      <c r="AU9" s="32"/>
      <c r="AV9" s="32"/>
      <c r="AW9" s="32"/>
      <c r="AX9" s="67"/>
      <c r="AY9" s="67"/>
    </row>
    <row r="10" spans="1:51" x14ac:dyDescent="0.3">
      <c r="A10">
        <v>102</v>
      </c>
      <c r="B10">
        <v>46</v>
      </c>
      <c r="C10" s="32" t="s">
        <v>206</v>
      </c>
      <c r="D10" s="32"/>
      <c r="E10" s="32" t="s">
        <v>207</v>
      </c>
      <c r="F10" s="32" t="s">
        <v>208</v>
      </c>
      <c r="G10" s="32" t="s">
        <v>209</v>
      </c>
      <c r="H10" s="32" t="s">
        <v>210</v>
      </c>
      <c r="I10" s="32" t="s">
        <v>209</v>
      </c>
      <c r="J10" s="32" t="s">
        <v>211</v>
      </c>
      <c r="K10" s="32" t="s">
        <v>212</v>
      </c>
      <c r="L10" s="66" t="s">
        <v>213</v>
      </c>
      <c r="M10" s="32" t="s">
        <v>16</v>
      </c>
      <c r="N10" s="32" t="s">
        <v>16</v>
      </c>
      <c r="O10" s="32" t="s">
        <v>16</v>
      </c>
      <c r="P10" s="32" t="s">
        <v>16</v>
      </c>
      <c r="Q10" s="32" t="s">
        <v>16</v>
      </c>
      <c r="R10" s="32" t="s">
        <v>16</v>
      </c>
      <c r="S10" s="32" t="s">
        <v>16</v>
      </c>
      <c r="T10" s="32"/>
      <c r="U10" s="32"/>
      <c r="V10" s="32" t="s">
        <v>214</v>
      </c>
      <c r="W10" s="32" t="s">
        <v>193</v>
      </c>
      <c r="X10" s="32"/>
      <c r="Y10" s="32"/>
      <c r="Z10" s="32"/>
      <c r="AA10" s="32"/>
      <c r="AB10" s="32" t="s">
        <v>51</v>
      </c>
      <c r="AC10" s="32" t="s">
        <v>51</v>
      </c>
      <c r="AD10" s="32" t="s">
        <v>51</v>
      </c>
      <c r="AE10" s="32" t="s">
        <v>51</v>
      </c>
      <c r="AF10" s="32" t="s">
        <v>51</v>
      </c>
      <c r="AG10" s="32" t="s">
        <v>51</v>
      </c>
      <c r="AH10" s="32" t="s">
        <v>51</v>
      </c>
      <c r="AI10" s="32" t="s">
        <v>51</v>
      </c>
      <c r="AJ10" s="32" t="s">
        <v>51</v>
      </c>
      <c r="AK10" s="32" t="s">
        <v>51</v>
      </c>
      <c r="AL10" s="32" t="s">
        <v>194</v>
      </c>
      <c r="AM10" s="32" t="s">
        <v>51</v>
      </c>
      <c r="AN10" s="32" t="s">
        <v>51</v>
      </c>
      <c r="AO10" s="32" t="s">
        <v>51</v>
      </c>
      <c r="AP10" s="32" t="s">
        <v>51</v>
      </c>
      <c r="AQ10" s="32" t="s">
        <v>51</v>
      </c>
      <c r="AR10" s="32" t="s">
        <v>195</v>
      </c>
      <c r="AS10" s="32" t="s">
        <v>51</v>
      </c>
      <c r="AT10" s="32" t="s">
        <v>196</v>
      </c>
      <c r="AU10" s="32" t="s">
        <v>194</v>
      </c>
      <c r="AV10" s="32" t="s">
        <v>195</v>
      </c>
      <c r="AW10" s="32" t="s">
        <v>197</v>
      </c>
      <c r="AX10" s="67"/>
      <c r="AY10" s="67"/>
    </row>
    <row r="11" spans="1:51" x14ac:dyDescent="0.3">
      <c r="A11">
        <v>104</v>
      </c>
      <c r="B11">
        <v>47</v>
      </c>
      <c r="C11" s="32" t="s">
        <v>16</v>
      </c>
      <c r="D11" s="32"/>
      <c r="E11" s="32" t="s">
        <v>130</v>
      </c>
      <c r="F11" s="32" t="s">
        <v>216</v>
      </c>
      <c r="G11" s="32" t="s">
        <v>217</v>
      </c>
      <c r="H11" s="32" t="s">
        <v>176</v>
      </c>
      <c r="I11" s="32" t="s">
        <v>179</v>
      </c>
      <c r="J11" s="32" t="s">
        <v>180</v>
      </c>
      <c r="K11" s="32" t="s">
        <v>181</v>
      </c>
      <c r="L11" s="49" t="s">
        <v>218</v>
      </c>
      <c r="M11" s="32"/>
      <c r="N11" s="32" t="s">
        <v>79</v>
      </c>
      <c r="O11" s="32" t="s">
        <v>81</v>
      </c>
      <c r="P11" s="32" t="s">
        <v>79</v>
      </c>
      <c r="Q11" s="32" t="s">
        <v>79</v>
      </c>
      <c r="R11" s="32" t="s">
        <v>79</v>
      </c>
      <c r="S11" s="32" t="s">
        <v>79</v>
      </c>
      <c r="T11" s="32" t="s">
        <v>184</v>
      </c>
      <c r="U11" s="32" t="s">
        <v>184</v>
      </c>
      <c r="V11" s="32" t="s">
        <v>219</v>
      </c>
      <c r="W11" s="32"/>
      <c r="X11" s="32"/>
      <c r="Y11" s="32"/>
      <c r="Z11" s="32"/>
      <c r="AA11" s="32"/>
      <c r="AB11" s="32"/>
      <c r="AC11" s="32"/>
      <c r="AD11" s="32"/>
      <c r="AE11" s="32"/>
      <c r="AF11" s="32"/>
      <c r="AG11" s="32"/>
      <c r="AH11" s="32"/>
      <c r="AI11" s="32"/>
      <c r="AJ11" s="32"/>
      <c r="AK11" s="32"/>
      <c r="AL11" s="32"/>
      <c r="AM11" s="32"/>
      <c r="AN11" s="32"/>
      <c r="AO11" s="32"/>
      <c r="AP11" s="32"/>
      <c r="AQ11" s="32"/>
      <c r="AR11" s="32"/>
      <c r="AS11" s="32"/>
      <c r="AT11" s="32" t="s">
        <v>196</v>
      </c>
      <c r="AU11" s="32"/>
      <c r="AV11" s="32"/>
      <c r="AW11" s="32"/>
      <c r="AX11" s="50"/>
      <c r="AY11" s="50"/>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000"/>
  <sheetViews>
    <sheetView workbookViewId="0">
      <selection activeCell="J9" sqref="J9"/>
    </sheetView>
  </sheetViews>
  <sheetFormatPr defaultColWidth="9.109375" defaultRowHeight="14.4" x14ac:dyDescent="0.3"/>
  <cols>
    <col min="1" max="10" width="9.109375" style="35"/>
    <col min="11" max="11" width="14.88671875" style="35" bestFit="1" customWidth="1"/>
    <col min="12" max="14" width="9.109375" style="35"/>
    <col min="15" max="15" width="10.33203125" style="35" bestFit="1" customWidth="1"/>
    <col min="16" max="16384" width="9.109375" style="35"/>
  </cols>
  <sheetData>
    <row r="1" spans="1:11" x14ac:dyDescent="0.3">
      <c r="A1" s="35">
        <v>1</v>
      </c>
      <c r="K1" s="34">
        <f ca="1">NOW()</f>
        <v>43428.246195486114</v>
      </c>
    </row>
    <row r="10000" spans="1:1" x14ac:dyDescent="0.3">
      <c r="A10000" s="35">
        <v>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2_Click">
                <anchor moveWithCells="1" sizeWithCells="1">
                  <from>
                    <xdr:col>0</xdr:col>
                    <xdr:colOff>426720</xdr:colOff>
                    <xdr:row>1</xdr:row>
                    <xdr:rowOff>121920</xdr:rowOff>
                  </from>
                  <to>
                    <xdr:col>3</xdr:col>
                    <xdr:colOff>419100</xdr:colOff>
                    <xdr:row>4</xdr:row>
                    <xdr:rowOff>175260</xdr:rowOff>
                  </to>
                </anchor>
              </controlPr>
            </control>
          </mc:Choice>
        </mc:AlternateContent>
        <mc:AlternateContent xmlns:mc="http://schemas.openxmlformats.org/markup-compatibility/2006">
          <mc:Choice Requires="x14">
            <control shapeId="1029" r:id="rId5" name="Button 5">
              <controlPr defaultSize="0" print="0" autoFill="0" autoPict="0" macro="[0]!shopuser">
                <anchor moveWithCells="1" sizeWithCells="1">
                  <from>
                    <xdr:col>3</xdr:col>
                    <xdr:colOff>594360</xdr:colOff>
                    <xdr:row>1</xdr:row>
                    <xdr:rowOff>137160</xdr:rowOff>
                  </from>
                  <to>
                    <xdr:col>6</xdr:col>
                    <xdr:colOff>609600</xdr:colOff>
                    <xdr:row>5</xdr:row>
                    <xdr:rowOff>0</xdr:rowOff>
                  </to>
                </anchor>
              </controlPr>
            </control>
          </mc:Choice>
        </mc:AlternateContent>
        <mc:AlternateContent xmlns:mc="http://schemas.openxmlformats.org/markup-compatibility/2006">
          <mc:Choice Requires="x14">
            <control shapeId="1030" r:id="rId6" name="Button 6">
              <controlPr defaultSize="0" print="0" autoFill="0" autoPict="0" macro="[0]!openrec">
                <anchor moveWithCells="1" sizeWithCells="1">
                  <from>
                    <xdr:col>0</xdr:col>
                    <xdr:colOff>419100</xdr:colOff>
                    <xdr:row>5</xdr:row>
                    <xdr:rowOff>121920</xdr:rowOff>
                  </from>
                  <to>
                    <xdr:col>3</xdr:col>
                    <xdr:colOff>411480</xdr:colOff>
                    <xdr:row>8</xdr:row>
                    <xdr:rowOff>175260</xdr:rowOff>
                  </to>
                </anchor>
              </controlPr>
            </control>
          </mc:Choice>
        </mc:AlternateContent>
        <mc:AlternateContent xmlns:mc="http://schemas.openxmlformats.org/markup-compatibility/2006">
          <mc:Choice Requires="x14">
            <control shapeId="1031" r:id="rId7" name="Button 7">
              <controlPr defaultSize="0" print="0" autoFill="0" autoPict="0" macro="[0]!CreateNewMessage">
                <anchor moveWithCells="1" sizeWithCells="1">
                  <from>
                    <xdr:col>3</xdr:col>
                    <xdr:colOff>594360</xdr:colOff>
                    <xdr:row>5</xdr:row>
                    <xdr:rowOff>137160</xdr:rowOff>
                  </from>
                  <to>
                    <xdr:col>6</xdr:col>
                    <xdr:colOff>579120</xdr:colOff>
                    <xdr:row>8</xdr:row>
                    <xdr:rowOff>182880</xdr:rowOff>
                  </to>
                </anchor>
              </controlPr>
            </control>
          </mc:Choice>
        </mc:AlternateContent>
        <mc:AlternateContent xmlns:mc="http://schemas.openxmlformats.org/markup-compatibility/2006">
          <mc:Choice Requires="x14">
            <control shapeId="1032" r:id="rId8" name="Button 8">
              <controlPr defaultSize="0" print="0" autoFill="0" autoPict="0" macro="[0]!statusedit">
                <anchor moveWithCells="1" sizeWithCells="1">
                  <from>
                    <xdr:col>7</xdr:col>
                    <xdr:colOff>160020</xdr:colOff>
                    <xdr:row>1</xdr:row>
                    <xdr:rowOff>121920</xdr:rowOff>
                  </from>
                  <to>
                    <xdr:col>10</xdr:col>
                    <xdr:colOff>213360</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G1:J33"/>
  <sheetViews>
    <sheetView tabSelected="1" workbookViewId="0">
      <selection activeCell="L23" sqref="L23"/>
    </sheetView>
  </sheetViews>
  <sheetFormatPr defaultRowHeight="14.4" x14ac:dyDescent="0.3"/>
  <cols>
    <col min="7" max="7" width="13.44140625" bestFit="1" customWidth="1"/>
    <col min="8" max="8" width="15.33203125" bestFit="1" customWidth="1"/>
    <col min="9" max="9" width="9.88671875" bestFit="1" customWidth="1"/>
  </cols>
  <sheetData>
    <row r="1" spans="7:10" x14ac:dyDescent="0.3">
      <c r="G1" s="36"/>
      <c r="H1" s="37" t="s">
        <v>89</v>
      </c>
      <c r="I1" s="37" t="s">
        <v>91</v>
      </c>
      <c r="J1" s="38" t="s">
        <v>92</v>
      </c>
    </row>
    <row r="2" spans="7:10" x14ac:dyDescent="0.3">
      <c r="G2" s="39" t="s">
        <v>96</v>
      </c>
      <c r="H2" s="40" t="s">
        <v>90</v>
      </c>
      <c r="I2" s="40">
        <v>6.42</v>
      </c>
      <c r="J2" s="41">
        <v>7</v>
      </c>
    </row>
    <row r="3" spans="7:10" x14ac:dyDescent="0.3">
      <c r="G3" s="39"/>
      <c r="H3" s="40" t="s">
        <v>93</v>
      </c>
      <c r="I3" s="40"/>
      <c r="J3" s="41">
        <v>25</v>
      </c>
    </row>
    <row r="4" spans="7:10" x14ac:dyDescent="0.3">
      <c r="G4" s="39"/>
      <c r="H4" s="40" t="s">
        <v>94</v>
      </c>
      <c r="I4" s="40"/>
      <c r="J4" s="41">
        <v>45</v>
      </c>
    </row>
    <row r="5" spans="7:10" x14ac:dyDescent="0.3">
      <c r="G5" s="39"/>
      <c r="H5" s="40"/>
      <c r="I5" s="40"/>
      <c r="J5" s="41"/>
    </row>
    <row r="6" spans="7:10" x14ac:dyDescent="0.3">
      <c r="G6" s="39"/>
      <c r="H6" s="40"/>
      <c r="I6" s="40"/>
      <c r="J6" s="41"/>
    </row>
    <row r="7" spans="7:10" x14ac:dyDescent="0.3">
      <c r="G7" s="39" t="s">
        <v>97</v>
      </c>
      <c r="H7" s="40" t="s">
        <v>95</v>
      </c>
      <c r="I7" s="40"/>
      <c r="J7" s="41">
        <v>8</v>
      </c>
    </row>
    <row r="8" spans="7:10" x14ac:dyDescent="0.3">
      <c r="G8" s="39"/>
      <c r="H8" s="40" t="s">
        <v>64</v>
      </c>
      <c r="I8" s="40"/>
      <c r="J8" s="41">
        <v>15</v>
      </c>
    </row>
    <row r="9" spans="7:10" x14ac:dyDescent="0.3">
      <c r="G9" s="39"/>
      <c r="H9" s="40" t="s">
        <v>98</v>
      </c>
      <c r="I9" s="40"/>
      <c r="J9" s="41">
        <v>8</v>
      </c>
    </row>
    <row r="10" spans="7:10" x14ac:dyDescent="0.3">
      <c r="G10" s="39"/>
      <c r="H10" s="40" t="s">
        <v>99</v>
      </c>
      <c r="I10" s="40"/>
      <c r="J10" s="41">
        <v>10</v>
      </c>
    </row>
    <row r="11" spans="7:10" x14ac:dyDescent="0.3">
      <c r="G11" s="39"/>
      <c r="H11" s="40" t="s">
        <v>100</v>
      </c>
      <c r="I11" s="40"/>
      <c r="J11" s="41">
        <v>15</v>
      </c>
    </row>
    <row r="12" spans="7:10" x14ac:dyDescent="0.3">
      <c r="G12" s="39"/>
      <c r="H12" s="40" t="s">
        <v>101</v>
      </c>
      <c r="I12" s="40"/>
      <c r="J12" s="41">
        <v>10</v>
      </c>
    </row>
    <row r="13" spans="7:10" x14ac:dyDescent="0.3">
      <c r="G13" s="39"/>
      <c r="H13" s="40" t="s">
        <v>102</v>
      </c>
      <c r="I13" s="40"/>
      <c r="J13" s="41">
        <v>20</v>
      </c>
    </row>
    <row r="14" spans="7:10" x14ac:dyDescent="0.3">
      <c r="G14" s="39"/>
      <c r="H14" s="40" t="s">
        <v>13</v>
      </c>
      <c r="I14" s="40"/>
      <c r="J14" s="41">
        <v>15</v>
      </c>
    </row>
    <row r="15" spans="7:10" x14ac:dyDescent="0.3">
      <c r="G15" s="39"/>
      <c r="H15" s="40"/>
      <c r="I15" s="40"/>
      <c r="J15" s="41"/>
    </row>
    <row r="16" spans="7:10" x14ac:dyDescent="0.3">
      <c r="G16" s="39" t="s">
        <v>103</v>
      </c>
      <c r="H16" s="40" t="s">
        <v>105</v>
      </c>
      <c r="I16" s="40"/>
      <c r="J16" s="41">
        <v>30</v>
      </c>
    </row>
    <row r="17" spans="7:10" x14ac:dyDescent="0.3">
      <c r="G17" s="39"/>
      <c r="H17" s="40" t="s">
        <v>106</v>
      </c>
      <c r="I17" s="40"/>
      <c r="J17" s="41">
        <v>15</v>
      </c>
    </row>
    <row r="18" spans="7:10" x14ac:dyDescent="0.3">
      <c r="G18" s="39"/>
      <c r="H18" s="40" t="s">
        <v>107</v>
      </c>
      <c r="I18" s="40"/>
      <c r="J18" s="41">
        <v>20</v>
      </c>
    </row>
    <row r="19" spans="7:10" x14ac:dyDescent="0.3">
      <c r="G19" s="39"/>
      <c r="H19" s="40" t="s">
        <v>108</v>
      </c>
      <c r="I19" s="40"/>
      <c r="J19" s="41">
        <v>25</v>
      </c>
    </row>
    <row r="20" spans="7:10" x14ac:dyDescent="0.3">
      <c r="G20" s="39"/>
      <c r="H20" s="40"/>
      <c r="I20" s="40"/>
      <c r="J20" s="41"/>
    </row>
    <row r="21" spans="7:10" x14ac:dyDescent="0.3">
      <c r="G21" s="39" t="s">
        <v>104</v>
      </c>
      <c r="H21" s="40">
        <v>10</v>
      </c>
      <c r="I21" s="40"/>
      <c r="J21" s="41">
        <v>5</v>
      </c>
    </row>
    <row r="22" spans="7:10" x14ac:dyDescent="0.3">
      <c r="G22" s="39"/>
      <c r="H22" s="40">
        <v>15</v>
      </c>
      <c r="I22" s="40"/>
      <c r="J22" s="41">
        <v>10</v>
      </c>
    </row>
    <row r="23" spans="7:10" x14ac:dyDescent="0.3">
      <c r="G23" s="39"/>
      <c r="H23" s="40">
        <v>30</v>
      </c>
      <c r="I23" s="40"/>
      <c r="J23" s="41">
        <v>20</v>
      </c>
    </row>
    <row r="24" spans="7:10" x14ac:dyDescent="0.3">
      <c r="G24" s="39"/>
      <c r="H24" s="40">
        <v>45</v>
      </c>
      <c r="I24" s="40"/>
      <c r="J24" s="41">
        <v>30</v>
      </c>
    </row>
    <row r="25" spans="7:10" ht="15" thickBot="1" x14ac:dyDescent="0.35">
      <c r="G25" s="42"/>
      <c r="H25" s="43">
        <v>60</v>
      </c>
      <c r="I25" s="43"/>
      <c r="J25" s="44">
        <v>45</v>
      </c>
    </row>
    <row r="26" spans="7:10" x14ac:dyDescent="0.3">
      <c r="G26" t="s">
        <v>110</v>
      </c>
      <c r="H26" t="s">
        <v>115</v>
      </c>
      <c r="I26" t="s">
        <v>116</v>
      </c>
    </row>
    <row r="27" spans="7:10" x14ac:dyDescent="0.3">
      <c r="G27" t="s">
        <v>111</v>
      </c>
      <c r="H27">
        <v>2.2999999999999998</v>
      </c>
    </row>
    <row r="28" spans="7:10" x14ac:dyDescent="0.3">
      <c r="G28" t="s">
        <v>112</v>
      </c>
      <c r="H28">
        <v>2</v>
      </c>
      <c r="I28">
        <v>6</v>
      </c>
    </row>
    <row r="29" spans="7:10" x14ac:dyDescent="0.3">
      <c r="G29" t="s">
        <v>113</v>
      </c>
      <c r="H29">
        <v>1.3</v>
      </c>
    </row>
    <row r="30" spans="7:10" x14ac:dyDescent="0.3">
      <c r="G30" t="s">
        <v>114</v>
      </c>
      <c r="H30">
        <v>1</v>
      </c>
      <c r="I30">
        <v>6</v>
      </c>
    </row>
    <row r="31" spans="7:10" x14ac:dyDescent="0.3">
      <c r="H31" t="s">
        <v>162</v>
      </c>
    </row>
    <row r="32" spans="7:10" x14ac:dyDescent="0.3">
      <c r="G32" t="s">
        <v>161</v>
      </c>
      <c r="H32" s="68">
        <v>2.75</v>
      </c>
    </row>
    <row r="33" spans="7:8" x14ac:dyDescent="0.3">
      <c r="G33" t="s">
        <v>163</v>
      </c>
      <c r="H33" s="68">
        <v>1.83</v>
      </c>
    </row>
  </sheetData>
  <pageMargins left="0.7" right="0.7" top="0.75" bottom="0.75" header="0.3" footer="0.3"/>
  <pageSetup paperSize="182" orientation="portrait"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0</xdr:col>
                    <xdr:colOff>251460</xdr:colOff>
                    <xdr:row>0</xdr:row>
                    <xdr:rowOff>83820</xdr:rowOff>
                  </from>
                  <to>
                    <xdr:col>5</xdr:col>
                    <xdr:colOff>106680</xdr:colOff>
                    <xdr:row>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4"/>
  <sheetViews>
    <sheetView workbookViewId="0">
      <selection activeCell="C33" sqref="C33"/>
    </sheetView>
  </sheetViews>
  <sheetFormatPr defaultRowHeight="14.4" x14ac:dyDescent="0.3"/>
  <sheetData>
    <row r="1" spans="1:4" x14ac:dyDescent="0.3">
      <c r="A1" s="51" t="s">
        <v>215</v>
      </c>
      <c r="B1" s="51"/>
      <c r="C1" s="51"/>
      <c r="D1" s="51"/>
    </row>
    <row r="2" spans="1:4" x14ac:dyDescent="0.3">
      <c r="A2" s="51"/>
      <c r="B2" s="51"/>
      <c r="C2" s="51"/>
      <c r="D2" s="51"/>
    </row>
    <row r="3" spans="1:4" x14ac:dyDescent="0.3">
      <c r="A3" s="51"/>
      <c r="B3" s="51"/>
      <c r="C3" s="51"/>
      <c r="D3" s="51"/>
    </row>
    <row r="4" spans="1:4" ht="70.5" customHeight="1" x14ac:dyDescent="0.3">
      <c r="A4" s="51"/>
      <c r="B4" s="51"/>
      <c r="C4" s="51"/>
      <c r="D4" s="51"/>
    </row>
  </sheetData>
  <mergeCells count="1">
    <mergeCell ref="A1:D4"/>
  </mergeCells>
  <pageMargins left="0.7" right="0.7" top="0.75" bottom="0.75" header="0.3" footer="0.3"/>
  <pageSetup paperSize="199" orientation="portrait"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H30"/>
  <sheetViews>
    <sheetView view="pageLayout" zoomScaleNormal="80" workbookViewId="0">
      <selection activeCell="B6" sqref="B6"/>
    </sheetView>
  </sheetViews>
  <sheetFormatPr defaultRowHeight="14.4" x14ac:dyDescent="0.3"/>
  <cols>
    <col min="1" max="1" width="37.109375" customWidth="1"/>
    <col min="2" max="5" width="23.109375" customWidth="1"/>
    <col min="6" max="6" width="37.109375" customWidth="1"/>
  </cols>
  <sheetData>
    <row r="1" spans="1:8" ht="33" customHeight="1" x14ac:dyDescent="0.3">
      <c r="A1" s="58" t="s">
        <v>52</v>
      </c>
      <c r="B1" s="59"/>
      <c r="C1" s="59"/>
      <c r="D1" s="59"/>
      <c r="E1" s="59"/>
      <c r="F1" s="60"/>
      <c r="G1" s="1"/>
      <c r="H1" s="1"/>
    </row>
    <row r="2" spans="1:8" ht="33" customHeight="1" x14ac:dyDescent="0.3">
      <c r="A2" s="61"/>
      <c r="B2" s="62"/>
      <c r="C2" s="62"/>
      <c r="D2" s="62"/>
      <c r="E2" s="62"/>
      <c r="F2" s="63"/>
      <c r="G2" s="1"/>
      <c r="H2" s="1"/>
    </row>
    <row r="3" spans="1:8" ht="33" customHeight="1" thickBot="1" x14ac:dyDescent="0.35">
      <c r="A3" s="61"/>
      <c r="B3" s="62"/>
      <c r="C3" s="62"/>
      <c r="D3" s="62"/>
      <c r="E3" s="62"/>
      <c r="F3" s="63"/>
      <c r="G3" s="1"/>
      <c r="H3" s="1"/>
    </row>
    <row r="4" spans="1:8" ht="33" customHeight="1" thickBot="1" x14ac:dyDescent="0.55000000000000004">
      <c r="A4" s="13" t="s">
        <v>53</v>
      </c>
      <c r="B4" s="28" t="s">
        <v>132</v>
      </c>
      <c r="C4" s="25" t="s">
        <v>55</v>
      </c>
      <c r="D4" s="64" t="s">
        <v>134</v>
      </c>
      <c r="E4" s="64"/>
      <c r="F4" s="65"/>
    </row>
    <row r="5" spans="1:8" ht="33" customHeight="1" thickBot="1" x14ac:dyDescent="0.55000000000000004">
      <c r="A5" s="46" t="s">
        <v>54</v>
      </c>
      <c r="B5" s="47" t="s">
        <v>167</v>
      </c>
      <c r="C5" s="25" t="s">
        <v>56</v>
      </c>
      <c r="D5" s="64" t="s">
        <v>133</v>
      </c>
      <c r="E5" s="64"/>
      <c r="F5" s="65"/>
    </row>
    <row r="6" spans="1:8" ht="33" customHeight="1" thickBot="1" x14ac:dyDescent="0.55000000000000004">
      <c r="A6" s="25" t="s">
        <v>164</v>
      </c>
      <c r="B6" s="48" t="s">
        <v>136</v>
      </c>
      <c r="C6" s="45" t="s">
        <v>57</v>
      </c>
      <c r="D6" s="64" t="s">
        <v>135</v>
      </c>
      <c r="E6" s="64"/>
      <c r="F6" s="65"/>
    </row>
    <row r="7" spans="1:8" ht="33" customHeight="1" thickBot="1" x14ac:dyDescent="0.55000000000000004">
      <c r="A7" s="14"/>
      <c r="B7" s="2"/>
      <c r="C7" s="3"/>
      <c r="D7" s="3"/>
      <c r="E7" s="3"/>
      <c r="F7" s="4"/>
    </row>
    <row r="8" spans="1:8" ht="33" customHeight="1" thickBot="1" x14ac:dyDescent="0.55000000000000004">
      <c r="A8" s="15" t="s">
        <v>58</v>
      </c>
      <c r="B8" s="5"/>
      <c r="C8" s="6" t="s">
        <v>59</v>
      </c>
      <c r="D8" s="7" t="s">
        <v>60</v>
      </c>
      <c r="E8" s="8"/>
      <c r="F8" s="4"/>
    </row>
    <row r="9" spans="1:8" ht="33" customHeight="1" thickBot="1" x14ac:dyDescent="0.55000000000000004">
      <c r="A9" s="15" t="s">
        <v>61</v>
      </c>
      <c r="B9" s="22" t="s">
        <v>16</v>
      </c>
      <c r="C9" s="23">
        <v>0</v>
      </c>
      <c r="D9" s="24">
        <v>0</v>
      </c>
      <c r="E9" s="3"/>
      <c r="F9" s="4"/>
    </row>
    <row r="10" spans="1:8" ht="33" customHeight="1" thickBot="1" x14ac:dyDescent="0.55000000000000004">
      <c r="A10" s="15" t="s">
        <v>62</v>
      </c>
      <c r="B10" s="22" t="s">
        <v>81</v>
      </c>
      <c r="C10" s="23">
        <v>0</v>
      </c>
      <c r="D10" s="24">
        <v>0</v>
      </c>
      <c r="E10" s="3"/>
      <c r="F10" s="4"/>
    </row>
    <row r="11" spans="1:8" ht="33" customHeight="1" thickBot="1" x14ac:dyDescent="0.55000000000000004">
      <c r="A11" s="15" t="s">
        <v>69</v>
      </c>
      <c r="B11" s="22" t="s">
        <v>16</v>
      </c>
      <c r="C11" s="23">
        <v>0</v>
      </c>
      <c r="D11" s="24">
        <v>0</v>
      </c>
      <c r="E11" s="3"/>
      <c r="F11" s="4"/>
    </row>
    <row r="12" spans="1:8" ht="33" customHeight="1" thickBot="1" x14ac:dyDescent="0.55000000000000004">
      <c r="A12" s="15" t="s">
        <v>63</v>
      </c>
      <c r="B12" s="22" t="s">
        <v>16</v>
      </c>
      <c r="C12" s="23">
        <v>0</v>
      </c>
      <c r="D12" s="24">
        <v>0</v>
      </c>
      <c r="E12" s="3"/>
      <c r="F12" s="4"/>
    </row>
    <row r="13" spans="1:8" ht="33" customHeight="1" thickBot="1" x14ac:dyDescent="0.55000000000000004">
      <c r="A13" s="15" t="s">
        <v>64</v>
      </c>
      <c r="B13" s="22" t="s">
        <v>16</v>
      </c>
      <c r="C13" s="23">
        <v>0</v>
      </c>
      <c r="D13" s="24">
        <v>0</v>
      </c>
      <c r="E13" s="3"/>
      <c r="F13" s="4"/>
    </row>
    <row r="14" spans="1:8" ht="33" customHeight="1" thickBot="1" x14ac:dyDescent="0.55000000000000004">
      <c r="A14" s="15" t="s">
        <v>65</v>
      </c>
      <c r="B14" s="22" t="s">
        <v>16</v>
      </c>
      <c r="C14" s="23">
        <v>0</v>
      </c>
      <c r="D14" s="24">
        <v>0</v>
      </c>
      <c r="E14" s="3"/>
      <c r="F14" s="4"/>
    </row>
    <row r="15" spans="1:8" ht="33" customHeight="1" thickBot="1" x14ac:dyDescent="0.55000000000000004">
      <c r="A15" s="15" t="s">
        <v>66</v>
      </c>
      <c r="B15" s="22"/>
      <c r="C15" s="23">
        <v>0</v>
      </c>
      <c r="D15" s="24">
        <v>0</v>
      </c>
      <c r="E15" s="3"/>
      <c r="F15" s="4"/>
    </row>
    <row r="16" spans="1:8" ht="33" customHeight="1" thickBot="1" x14ac:dyDescent="0.55000000000000004">
      <c r="A16" s="15" t="s">
        <v>67</v>
      </c>
      <c r="B16" s="22"/>
      <c r="C16" s="23">
        <v>0</v>
      </c>
      <c r="D16" s="24">
        <v>0</v>
      </c>
      <c r="E16" s="3"/>
      <c r="F16" s="4"/>
    </row>
    <row r="17" spans="1:6" ht="33" customHeight="1" thickBot="1" x14ac:dyDescent="0.55000000000000004">
      <c r="A17" s="25" t="s">
        <v>68</v>
      </c>
      <c r="B17" s="30"/>
      <c r="C17" s="29">
        <v>0</v>
      </c>
      <c r="D17" s="31">
        <v>10</v>
      </c>
      <c r="E17" s="3"/>
      <c r="F17" s="4"/>
    </row>
    <row r="18" spans="1:6" ht="33" customHeight="1" thickBot="1" x14ac:dyDescent="0.55000000000000004">
      <c r="A18" s="14"/>
      <c r="B18" s="3"/>
      <c r="C18" s="3"/>
      <c r="D18" s="3"/>
      <c r="E18" s="3"/>
      <c r="F18" s="4"/>
    </row>
    <row r="19" spans="1:6" ht="33" customHeight="1" x14ac:dyDescent="0.5">
      <c r="A19" s="16" t="s">
        <v>70</v>
      </c>
      <c r="B19" s="52" t="s">
        <v>16</v>
      </c>
      <c r="C19" s="52"/>
      <c r="D19" s="53"/>
      <c r="E19" s="3"/>
      <c r="F19" s="4"/>
    </row>
    <row r="20" spans="1:6" ht="33" customHeight="1" x14ac:dyDescent="0.5">
      <c r="A20" s="14"/>
      <c r="B20" s="54"/>
      <c r="C20" s="54"/>
      <c r="D20" s="55"/>
      <c r="E20" s="3"/>
      <c r="F20" s="4"/>
    </row>
    <row r="21" spans="1:6" ht="33" customHeight="1" thickBot="1" x14ac:dyDescent="0.55000000000000004">
      <c r="A21" s="17"/>
      <c r="B21" s="26"/>
      <c r="C21" s="26"/>
      <c r="D21" s="27"/>
      <c r="E21" s="3"/>
      <c r="F21" s="4"/>
    </row>
    <row r="22" spans="1:6" ht="33" customHeight="1" x14ac:dyDescent="0.5">
      <c r="A22" s="16" t="s">
        <v>71</v>
      </c>
      <c r="B22" s="52" t="s">
        <v>141</v>
      </c>
      <c r="C22" s="52"/>
      <c r="D22" s="53"/>
      <c r="E22" s="3"/>
      <c r="F22" s="4"/>
    </row>
    <row r="23" spans="1:6" ht="33" customHeight="1" x14ac:dyDescent="0.3">
      <c r="A23" s="9"/>
      <c r="B23" s="54"/>
      <c r="C23" s="54"/>
      <c r="D23" s="55"/>
      <c r="E23" s="3"/>
      <c r="F23" s="4"/>
    </row>
    <row r="24" spans="1:6" ht="33" customHeight="1" x14ac:dyDescent="0.3">
      <c r="A24" s="9"/>
      <c r="B24" s="54"/>
      <c r="C24" s="54"/>
      <c r="D24" s="55"/>
      <c r="E24" s="3"/>
      <c r="F24" s="4"/>
    </row>
    <row r="25" spans="1:6" ht="33" customHeight="1" x14ac:dyDescent="0.3">
      <c r="A25" s="9"/>
      <c r="B25" s="54"/>
      <c r="C25" s="54"/>
      <c r="D25" s="55"/>
      <c r="E25" s="3"/>
      <c r="F25" s="4"/>
    </row>
    <row r="26" spans="1:6" ht="33" customHeight="1" thickBot="1" x14ac:dyDescent="0.35">
      <c r="A26" s="10"/>
      <c r="B26" s="56"/>
      <c r="C26" s="56"/>
      <c r="D26" s="57"/>
      <c r="E26" s="3"/>
      <c r="F26" s="4"/>
    </row>
    <row r="27" spans="1:6" ht="33" customHeight="1" x14ac:dyDescent="0.5">
      <c r="A27" s="9"/>
      <c r="B27" s="18" t="s">
        <v>72</v>
      </c>
      <c r="C27" s="20">
        <v>0</v>
      </c>
      <c r="D27" s="3"/>
      <c r="E27" s="3"/>
      <c r="F27" s="4"/>
    </row>
    <row r="28" spans="1:6" ht="33" customHeight="1" x14ac:dyDescent="0.5">
      <c r="A28" s="9"/>
      <c r="B28" s="18" t="s">
        <v>73</v>
      </c>
      <c r="C28" s="20">
        <v>10</v>
      </c>
      <c r="D28" s="3"/>
      <c r="E28" s="3"/>
      <c r="F28" s="4"/>
    </row>
    <row r="29" spans="1:6" ht="33" customHeight="1" x14ac:dyDescent="0.5">
      <c r="A29" s="9"/>
      <c r="B29" s="18" t="s">
        <v>74</v>
      </c>
      <c r="C29" s="20">
        <f>0.09*C27</f>
        <v>0</v>
      </c>
      <c r="D29" s="3"/>
      <c r="E29" s="3"/>
      <c r="F29" s="4"/>
    </row>
    <row r="30" spans="1:6" ht="33" customHeight="1" thickBot="1" x14ac:dyDescent="0.55000000000000004">
      <c r="A30" s="33" t="s">
        <v>76</v>
      </c>
      <c r="B30" s="19" t="s">
        <v>75</v>
      </c>
      <c r="C30" s="21">
        <f>C27+C28+C29</f>
        <v>10</v>
      </c>
      <c r="D30" s="11"/>
      <c r="E30" s="11"/>
      <c r="F30" s="12"/>
    </row>
  </sheetData>
  <mergeCells count="6">
    <mergeCell ref="B22:D26"/>
    <mergeCell ref="A1:F3"/>
    <mergeCell ref="D4:F4"/>
    <mergeCell ref="D5:F5"/>
    <mergeCell ref="D6:F6"/>
    <mergeCell ref="B19:D20"/>
  </mergeCells>
  <pageMargins left="0.7" right="0.7" top="0.75" bottom="0.75" header="0.3" footer="0.3"/>
  <pageSetup paperSize="178" scale="54" orientation="portrait" r:id="rId1"/>
  <headerFooter>
    <oddHeader>&amp;C&amp;G</oddHead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9833AF-D64A-41B2-9DC6-DE575C5D76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2</vt:i4>
      </vt:variant>
    </vt:vector>
  </HeadingPairs>
  <TitlesOfParts>
    <vt:vector size="2" baseType="lpstr">
      <vt:lpstr>TIKS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Paul</dc:creator>
  <cp:lastModifiedBy>Joe Paul</cp:lastModifiedBy>
  <cp:lastPrinted>2018-11-24T11:42:56Z</cp:lastPrinted>
  <dcterms:created xsi:type="dcterms:W3CDTF">2018-08-24T01:35:18Z</dcterms:created>
  <dcterms:modified xsi:type="dcterms:W3CDTF">2018-11-24T12:12:27Z</dcterms:modified>
</cp:coreProperties>
</file>